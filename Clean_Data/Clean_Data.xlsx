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Y Project\Global_Sales_Intelligence_Analysis\"/>
    </mc:Choice>
  </mc:AlternateContent>
  <xr:revisionPtr revIDLastSave="0" documentId="13_ncr:1_{D2AF6D46-6FCE-4969-ABF9-17DA0B3ECD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ed_Data" sheetId="1" r:id="rId1"/>
  </sheets>
  <definedNames>
    <definedName name="_xlnm._FilterDatabase" localSheetId="0" hidden="1">Cleaned_Data!$A$1:$S$1001</definedName>
  </definedNames>
  <calcPr calcId="18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<sst xmlns="http://schemas.openxmlformats.org/spreadsheetml/2006/main" count="6021" uniqueCount="1231">
  <si>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</si>
  <si>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</si>
  <si>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</si>
  <si>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</si>
  <si>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</si>
  <si>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</si>
  <si>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</si>
  <si>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</si>
  <si>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</si>
  <si>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</si>
  <si>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</si>
  <si>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</si>
  <si>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</si>
  <si>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</si>
  <si>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</si>
  <si>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Profit Margin %</t>
  </si>
  <si>
    <t>Shipping Days</t>
  </si>
  <si>
    <t>Order Year</t>
  </si>
  <si>
    <t>Order Month</t>
  </si>
  <si>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</si>
  <si>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</si>
  <si>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</si>
  <si>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</si>
  <si>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</si>
  <si>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</si>
  <si>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</si>
  <si>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</si>
  <si>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</si>
  <si>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</si>
  <si>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</si>
  <si>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</si>
  <si>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</si>
  <si>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</si>
  <si>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</si>
  <si>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</si>
  <si>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</si>
  <si>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</si>
  <si>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</si>
  <si>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</si>
  <si>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</si>
  <si>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</si>
  <si>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</si>
  <si>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</si>
  <si>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</si>
  <si>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</si>
  <si>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</si>
  <si>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</si>
  <si>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</si>
  <si>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</si>
  <si>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</si>
  <si>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</si>
  <si>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</si>
  <si>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</si>
  <si>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</si>
  <si>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</si>
  <si>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</si>
  <si>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</si>
  <si>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</si>
  <si>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</si>
  <si>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</si>
  <si>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</si>
  <si>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</si>
  <si>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</si>
  <si>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</si>
  <si>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</si>
  <si>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</si>
  <si>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</si>
  <si>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</si>
  <si>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</si>
  <si>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</si>
  <si>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</si>
  <si>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</si>
  <si>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</si>
  <si>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</si>
  <si>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</si>
  <si>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</si>
  <si>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</si>
  <si>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</si>
  <si>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</si>
  <si>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</si>
  <si>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</si>
  <si>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</si>
  <si>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</si>
  <si>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</si>
  <si>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</si>
  <si>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</si>
  <si>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</si>
  <si>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</si>
  <si>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</si>
  <si>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</si>
  <si>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</si>
  <si>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</si>
  <si>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</si>
  <si>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</si>
  <si>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>Mauritius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</si>
  <si>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</si>
  <si>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</si>
  <si>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</si>
  <si>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</si>
  <si>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</si>
  <si>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</si>
  <si>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</si>
  <si>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</si>
  <si>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</si>
  <si>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</si>
  <si>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</si>
  <si>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</si>
  <si>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</si>
  <si>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</si>
  <si>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</si>
  <si>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</si>
  <si>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</si>
  <si>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</si>
  <si>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</si>
  <si>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</si>
  <si>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</si>
  <si>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</si>
  <si>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</si>
  <si>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</si>
  <si>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</si>
  <si>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</si>
  <si>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</si>
  <si>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</si>
  <si>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</si>
  <si>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</si>
  <si>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</si>
  <si>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</si>
  <si>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</si>
  <si>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</si>
  <si>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</si>
  <si>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</si>
  <si>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</si>
  <si>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</si>
  <si>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</si>
  <si>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</si>
  <si>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</si>
  <si>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</si>
  <si>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</si>
  <si>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</si>
  <si>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</si>
  <si>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</si>
  <si>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</si>
  <si>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</si>
  <si>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</si>
  <si>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</si>
  <si>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</si>
  <si>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</si>
  <si>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</si>
  <si>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</si>
  <si>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</si>
  <si>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</si>
  <si>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</si>
  <si>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</si>
  <si>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</si>
  <si>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</si>
  <si>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</si>
  <si>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</si>
  <si>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</si>
  <si>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</si>
  <si>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</si>
  <si>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</si>
  <si>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</si>
  <si>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</si>
  <si>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</si>
  <si>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</si>
  <si>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</si>
  <si>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</si>
  <si>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</si>
  <si>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</si>
  <si>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</si>
  <si>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</si>
  <si>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</si>
  <si>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</si>
  <si>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</si>
  <si>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</si>
  <si>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</si>
  <si>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</si>
  <si>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</si>
  <si>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</si>
  <si>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</si>
  <si>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</si>
  <si>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</si>
  <si>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>Tunisia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</si>
  <si>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</si>
  <si>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</si>
  <si>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</si>
  <si>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</si>
  <si>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</si>
  <si>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</si>
  <si>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</si>
  <si>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</si>
  <si>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</si>
  <si>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</si>
  <si>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</si>
  <si>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</si>
  <si>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</si>
  <si>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</si>
  <si>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</si>
  <si>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</si>
  <si>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</si>
  <si>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</si>
  <si>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</si>
  <si>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</si>
  <si>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</si>
  <si>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</si>
  <si>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</si>
  <si>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</si>
  <si>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</si>
  <si>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</si>
  <si>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</si>
  <si>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</si>
  <si>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</si>
  <si>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</si>
  <si>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</si>
  <si>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</si>
  <si>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</si>
  <si>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</si>
  <si>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</si>
  <si>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</si>
  <si>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</si>
  <si>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</si>
  <si>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</si>
  <si>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</si>
  <si>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</si>
  <si>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</si>
  <si>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</si>
  <si>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</si>
  <si>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</si>
  <si>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</si>
  <si>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</si>
  <si>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</si>
  <si>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</si>
  <si>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</si>
  <si>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</si>
  <si>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</si>
  <si>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</si>
  <si>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</si>
  <si>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</si>
  <si>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</si>
  <si>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</si>
  <si>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</si>
  <si>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</si>
  <si>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</si>
  <si>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</si>
  <si>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</si>
  <si>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</si>
  <si>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</si>
  <si>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</si>
  <si>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</si>
  <si>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</si>
  <si>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</si>
  <si>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</si>
  <si>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</si>
  <si>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</si>
  <si>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</si>
  <si>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</si>
  <si>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</si>
  <si>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</si>
  <si>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</si>
  <si>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</si>
  <si>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</si>
  <si>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</si>
  <si>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</si>
  <si>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</si>
  <si>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</si>
  <si>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</si>
  <si>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</si>
  <si>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</si>
  <si>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</si>
  <si>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</si>
  <si>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</si>
  <si>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</si>
  <si>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</si>
  <si>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</si>
  <si>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</si>
  <si>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</si>
  <si>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</si>
  <si>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</si>
  <si>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</si>
  <si>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</si>
  <si>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</si>
  <si>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</si>
  <si>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</si>
  <si>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</si>
  <si>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</si>
  <si>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</si>
  <si>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</si>
  <si>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</si>
  <si>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</si>
  <si>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</si>
  <si>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</si>
  <si>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</si>
  <si>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</si>
  <si>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</si>
  <si>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</si>
  <si>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</si>
  <si>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</si>
  <si>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</si>
  <si>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</si>
  <si>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</si>
  <si>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</si>
  <si>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</si>
  <si>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</si>
  <si>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</si>
  <si>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</si>
  <si>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</si>
  <si>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</si>
  <si>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</si>
  <si>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>Moldova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</si>
  <si>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</si>
  <si>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</si>
  <si>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</si>
  <si>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</si>
  <si>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</si>
  <si>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</si>
  <si>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</si>
  <si>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</si>
  <si>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</si>
  <si>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</si>
  <si>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</si>
  <si>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</si>
  <si>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</si>
  <si>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</si>
  <si>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</si>
  <si>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</si>
  <si>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</si>
  <si>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</si>
  <si>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</si>
  <si>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</si>
  <si>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</si>
  <si>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</si>
  <si>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</si>
  <si>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</si>
  <si>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</si>
  <si>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</si>
  <si>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</si>
  <si>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</si>
  <si>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</si>
  <si>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</si>
  <si>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</si>
  <si>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</si>
  <si>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</si>
  <si>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</si>
  <si>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</si>
  <si>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</si>
  <si>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</si>
  <si>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</si>
  <si>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</si>
  <si>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</si>
  <si>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</si>
  <si>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</si>
  <si>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</si>
  <si>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</si>
  <si>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</si>
  <si>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</si>
  <si>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</si>
  <si>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</si>
  <si>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</si>
  <si>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</si>
  <si>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</si>
  <si>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</si>
  <si>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</si>
  <si>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</si>
  <si>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</si>
  <si>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</si>
  <si>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</si>
  <si>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>Antigua and Barbuda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</si>
  <si>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</si>
  <si>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</si>
  <si>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</si>
  <si>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</si>
  <si>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</si>
  <si>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</si>
  <si>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</si>
  <si>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</si>
  <si>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</si>
  <si>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</si>
  <si>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</si>
  <si>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</si>
  <si>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</si>
  <si>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</si>
  <si>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</si>
  <si>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</si>
  <si>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</si>
  <si>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</si>
  <si>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</si>
  <si>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</si>
  <si>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</si>
  <si>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</si>
  <si>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</si>
  <si>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</si>
  <si>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</si>
  <si>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</si>
  <si>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</si>
  <si>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</si>
  <si>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</si>
  <si>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</si>
  <si>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</si>
  <si>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</si>
  <si>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</si>
  <si>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</si>
  <si>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</si>
  <si>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</si>
  <si>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</si>
  <si>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</si>
  <si>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</si>
  <si>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</si>
  <si>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</si>
  <si>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</si>
  <si>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</si>
  <si>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</si>
  <si>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</si>
  <si>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</si>
  <si>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</si>
  <si>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</si>
  <si>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</si>
  <si>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>Seychelles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</si>
  <si>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</si>
  <si>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</si>
  <si>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</si>
  <si>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</si>
  <si>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</si>
  <si>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</si>
  <si>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</si>
  <si>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</si>
  <si>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</si>
  <si>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</si>
  <si>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</si>
  <si>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</si>
  <si>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</si>
  <si>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</si>
  <si>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</si>
  <si>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</si>
  <si>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</si>
  <si>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</si>
  <si>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</si>
  <si>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</si>
  <si>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</si>
  <si>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</si>
  <si>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</si>
  <si>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</si>
  <si>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</si>
  <si>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</si>
  <si>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</si>
  <si>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</si>
  <si>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</si>
  <si>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</si>
  <si>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</si>
  <si>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</si>
  <si>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</si>
  <si>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</si>
  <si>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</si>
  <si>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</si>
  <si>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</si>
  <si>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</si>
  <si>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</si>
  <si>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</si>
  <si>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</si>
  <si>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</si>
  <si>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</si>
  <si>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</si>
  <si>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</si>
  <si>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</si>
  <si>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</si>
  <si>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</si>
  <si>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</si>
  <si>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</si>
  <si>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</si>
  <si>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</si>
  <si>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</si>
  <si>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</si>
  <si>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</si>
  <si>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</si>
  <si>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</si>
  <si>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</si>
  <si>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</si>
  <si>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</si>
  <si>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</si>
  <si>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</si>
  <si>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</si>
  <si>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</si>
  <si>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</si>
  <si>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</si>
  <si>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</si>
  <si>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</si>
  <si>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</si>
  <si>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</si>
  <si>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</si>
  <si>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</si>
  <si>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</si>
  <si>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</si>
  <si>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</si>
  <si>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</si>
  <si>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</si>
  <si>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</si>
  <si>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</si>
  <si>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</si>
  <si>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</si>
  <si>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</si>
  <si>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</si>
  <si>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</si>
  <si>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</si>
  <si>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</si>
  <si>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</si>
  <si>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</si>
  <si>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</si>
  <si>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</si>
  <si>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</si>
  <si>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</si>
  <si>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</si>
  <si>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</si>
  <si>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</si>
  <si>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</si>
  <si>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</si>
  <si>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</si>
  <si>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</si>
  <si>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</si>
  <si>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</si>
  <si>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</si>
  <si>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</si>
  <si>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</si>
  <si>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</si>
  <si>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</si>
  <si>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</si>
  <si>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>Samoa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</si>
  <si>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</si>
  <si>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</si>
  <si>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</si>
  <si>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</si>
  <si>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</si>
  <si>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</si>
  <si>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</si>
  <si>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</si>
  <si>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</si>
  <si>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</si>
  <si>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</si>
  <si>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</si>
  <si>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</si>
  <si>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</si>
  <si>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</si>
  <si>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</si>
  <si>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</si>
  <si>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</si>
  <si>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</si>
  <si>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</si>
  <si>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</si>
  <si>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</si>
  <si>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</si>
  <si>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</si>
  <si>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</si>
  <si>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</si>
  <si>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</si>
  <si>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</si>
  <si>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</si>
  <si>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</si>
  <si>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</si>
  <si>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</si>
  <si>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</si>
  <si>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</si>
  <si>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</si>
  <si>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</si>
  <si>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</si>
  <si>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</si>
  <si>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</si>
  <si>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</si>
  <si>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</si>
  <si>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</si>
  <si>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</si>
  <si>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</si>
  <si>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</si>
  <si>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</si>
  <si>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</si>
  <si>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</si>
  <si>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</si>
  <si>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</si>
  <si>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</si>
  <si>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</si>
  <si>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</si>
  <si>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</si>
  <si>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</si>
  <si>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</si>
  <si>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</si>
  <si>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</si>
  <si>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</si>
  <si>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</si>
  <si>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</si>
  <si>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</si>
  <si>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</si>
  <si>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</si>
  <si>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</si>
  <si>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</si>
  <si>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</si>
  <si>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</si>
  <si>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</si>
  <si>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</si>
  <si>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</si>
  <si>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</si>
  <si>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</si>
  <si>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</si>
  <si>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</si>
  <si>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</si>
  <si>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</si>
  <si>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</si>
  <si>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</si>
  <si>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</si>
  <si>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</si>
  <si>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</si>
  <si>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</si>
  <si>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</si>
  <si>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</si>
  <si>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</si>
  <si>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</si>
  <si>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</si>
  <si>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</si>
  <si>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</si>
  <si>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</si>
  <si>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</si>
  <si>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</si>
  <si>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</si>
  <si>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</si>
  <si>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</si>
  <si>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</si>
  <si>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</si>
  <si>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</si>
  <si>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</si>
  <si>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</si>
  <si>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</si>
  <si>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</si>
  <si>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</si>
  <si>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</si>
  <si>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</si>
  <si>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>Saint Kitts and Nevis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</si>
  <si>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</si>
  <si>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</si>
  <si>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</si>
  <si>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</si>
  <si>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</si>
  <si>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</si>
  <si>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</si>
  <si>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</si>
  <si>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</si>
  <si>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</si>
  <si>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</si>
  <si>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</si>
  <si>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</si>
  <si>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</si>
  <si>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</si>
  <si>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</si>
  <si>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</si>
  <si>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</si>
  <si>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</si>
  <si>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</si>
  <si>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</si>
  <si>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</si>
  <si>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</si>
  <si>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</si>
  <si>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</si>
  <si>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</si>
  <si>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</si>
  <si>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</si>
  <si>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</si>
  <si>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</si>
  <si>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</si>
  <si>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</si>
  <si>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</si>
  <si>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</si>
  <si>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</si>
  <si>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</si>
  <si>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</si>
  <si>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</si>
  <si>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</si>
  <si>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</si>
  <si>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</si>
  <si>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</si>
  <si>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</si>
  <si>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</si>
  <si>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</si>
  <si>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</si>
  <si>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</si>
  <si>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</si>
  <si>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</si>
  <si>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</si>
  <si>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</si>
  <si>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</si>
  <si>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</si>
  <si>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</si>
  <si>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</si>
  <si>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</si>
  <si>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</si>
  <si>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</si>
  <si>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</si>
  <si>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</si>
  <si>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</si>
  <si>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</si>
  <si>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</si>
  <si>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</si>
  <si>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</si>
  <si>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</si>
  <si>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</si>
  <si>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</si>
  <si>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</si>
  <si>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</si>
  <si>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</si>
  <si>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</si>
  <si>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</si>
  <si>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</si>
  <si>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</si>
  <si>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</si>
  <si>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</si>
  <si>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</si>
  <si>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</si>
  <si>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</si>
  <si>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</si>
  <si>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</si>
  <si>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</si>
  <si>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</si>
  <si>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</si>
  <si>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</si>
  <si>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</si>
  <si>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</si>
  <si>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</si>
  <si>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</si>
  <si>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</si>
  <si>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</si>
  <si>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</si>
  <si>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</si>
  <si>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</si>
  <si>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</si>
  <si>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</si>
  <si>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</si>
  <si>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</si>
  <si>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</si>
  <si>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</si>
  <si>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</si>
  <si>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</si>
  <si>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</si>
  <si>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</si>
  <si>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</si>
  <si>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</si>
  <si>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</si>
  <si>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</si>
  <si>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</si>
  <si>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</si>
  <si>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</si>
  <si>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</si>
  <si>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</si>
  <si>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</si>
  <si>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</si>
  <si>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</si>
  <si>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</si>
  <si>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</si>
  <si>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</si>
  <si>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</si>
  <si>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</si>
  <si>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</si>
  <si>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</si>
  <si>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</si>
  <si>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</si>
  <si>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</si>
  <si>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</si>
  <si>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</si>
  <si>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</si>
  <si>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</si>
  <si>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</si>
  <si>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</si>
  <si>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</si>
  <si>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</si>
  <si>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</si>
  <si>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</si>
  <si>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</si>
  <si>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</si>
  <si>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</si>
  <si>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</si>
  <si>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</si>
  <si>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</si>
  <si>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</si>
  <si>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</si>
  <si>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</si>
  <si>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</si>
  <si>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</si>
  <si>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</si>
  <si>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</si>
  <si>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</si>
  <si>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</si>
  <si>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</si>
  <si>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</si>
  <si>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</si>
  <si>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</si>
  <si>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</si>
  <si>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</si>
  <si>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</si>
  <si>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</si>
  <si>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</si>
  <si>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</si>
  <si>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</si>
  <si>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</si>
  <si>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</si>
  <si>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</si>
  <si>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</si>
  <si>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</si>
  <si>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</si>
  <si>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</si>
  <si>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</si>
  <si>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</si>
  <si>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</si>
  <si>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</si>
  <si>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</si>
  <si>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</si>
  <si>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</si>
  <si>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</si>
  <si>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</si>
  <si>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</si>
  <si>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</si>
  <si>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</si>
  <si>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</si>
  <si>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</si>
  <si>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</si>
  <si>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</si>
  <si>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</si>
  <si>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</si>
  <si>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</si>
  <si>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</si>
  <si>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</si>
  <si>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</si>
  <si>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</si>
  <si>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</si>
  <si>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</si>
  <si>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</si>
  <si>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</si>
  <si>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</si>
  <si>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</si>
  <si>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</si>
  <si>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</si>
  <si>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</si>
  <si>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</si>
  <si>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</si>
  <si>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</si>
  <si>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</si>
  <si>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</si>
  <si>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</si>
  <si>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</si>
  <si>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</si>
  <si>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</si>
  <si>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</si>
  <si>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</si>
  <si>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</si>
  <si>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</si>
  <si>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</si>
  <si>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</si>
  <si>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</si>
  <si>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</si>
  <si>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</si>
  <si>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</si>
  <si>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</si>
  <si>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</si>
  <si>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</si>
  <si>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</si>
  <si>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</si>
  <si>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</si>
  <si>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</si>
  <si>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</si>
  <si>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</si>
  <si>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</si>
  <si>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</si>
  <si>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</si>
  <si>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</si>
  <si>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</si>
  <si>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</si>
  <si>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</si>
  <si>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</si>
  <si>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</si>
  <si>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</si>
  <si>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</si>
  <si>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</si>
  <si>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</si>
  <si>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</si>
  <si>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</si>
  <si>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</si>
  <si>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</si>
  <si>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</si>
  <si>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</si>
  <si>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</si>
  <si>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</si>
  <si>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</si>
  <si>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</si>
  <si>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</si>
  <si>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</si>
  <si>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</si>
  <si>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</si>
  <si>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</si>
  <si>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</si>
  <si>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</si>
  <si>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</si>
  <si>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</si>
  <si>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</si>
  <si>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</si>
  <si>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</si>
  <si>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</si>
  <si>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</si>
  <si>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</si>
  <si>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</si>
  <si>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</si>
  <si>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</si>
  <si>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</si>
  <si>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</si>
  <si>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</si>
  <si>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</si>
  <si>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</si>
  <si>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</si>
  <si>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</si>
  <si>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</si>
  <si>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</si>
  <si>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</si>
  <si>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</si>
  <si>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</si>
  <si>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</si>
  <si>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</si>
  <si>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</si>
  <si>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</si>
  <si>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</si>
  <si>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</si>
  <si>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</si>
  <si>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</si>
  <si>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</si>
  <si>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</si>
  <si>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</si>
  <si>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</si>
  <si>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</si>
  <si>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</si>
  <si>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</si>
  <si>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</si>
  <si>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</si>
  <si>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</si>
  <si>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</si>
  <si>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</si>
  <si>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</si>
  <si>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</si>
  <si>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</si>
  <si>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</si>
  <si>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</si>
  <si>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</si>
  <si>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</si>
  <si>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</si>
  <si>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</si>
  <si>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</si>
  <si>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</si>
  <si>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</si>
  <si>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</si>
  <si>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</si>
  <si>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</si>
  <si>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</si>
  <si>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</si>
  <si>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</si>
  <si>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</si>
  <si>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</si>
  <si>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</si>
  <si>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</si>
  <si>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</si>
  <si>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</si>
  <si>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</si>
  <si>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</si>
  <si>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</si>
  <si>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</si>
  <si>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</si>
  <si>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</si>
  <si>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</si>
  <si>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</si>
  <si>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</si>
  <si>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</si>
  <si>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</si>
  <si>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</si>
  <si>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</si>
  <si>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</si>
  <si>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</si>
  <si>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</si>
  <si>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</si>
  <si>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</si>
  <si>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</si>
  <si>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</si>
  <si>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</si>
  <si>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</si>
  <si>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</si>
  <si>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</si>
  <si>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</si>
  <si>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</si>
  <si>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</si>
  <si>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</si>
  <si>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</si>
  <si>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</si>
  <si>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</si>
  <si>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</si>
  <si>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</si>
  <si>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</si>
  <si>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</si>
  <si>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</si>
  <si>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</si>
  <si>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</si>
  <si>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</si>
  <si>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</si>
  <si>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</si>
  <si>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</si>
  <si>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</si>
  <si>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</si>
  <si>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</si>
  <si>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</si>
  <si>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</si>
  <si>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</si>
  <si>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</si>
  <si>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</si>
  <si>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</si>
  <si>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</si>
  <si>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</si>
  <si>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</si>
  <si>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</si>
  <si>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</si>
  <si>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</si>
  <si>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</si>
  <si>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</si>
  <si>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</si>
  <si>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</si>
  <si>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</si>
  <si>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</si>
  <si>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</si>
  <si>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</si>
  <si>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</si>
  <si>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</si>
  <si>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</si>
  <si>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</si>
  <si>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</si>
  <si>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</si>
  <si>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</si>
  <si>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</si>
  <si>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</si>
  <si>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</si>
  <si>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</si>
  <si>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</si>
  <si>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</si>
  <si>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</si>
  <si>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</si>
  <si>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</si>
  <si>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</si>
  <si>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</si>
  <si>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</si>
  <si>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</si>
  <si>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</si>
  <si>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</si>
  <si>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</si>
  <si>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</si>
  <si>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</si>
  <si>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</si>
  <si>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</si>
  <si>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</si>
  <si>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</si>
  <si>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</si>
  <si>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</si>
  <si>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</si>
  <si>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</si>
  <si>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</si>
  <si>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</si>
  <si>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</si>
  <si>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</si>
  <si>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</si>
  <si>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</si>
  <si>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</si>
  <si>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</si>
  <si>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</si>
  <si>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</si>
  <si>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</si>
  <si>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</si>
  <si>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</si>
  <si>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</si>
  <si>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</si>
  <si>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</si>
  <si>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</si>
  <si>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</si>
  <si>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</si>
  <si>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</si>
  <si>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</si>
  <si>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</si>
  <si>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</si>
  <si>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</si>
  <si>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</si>
  <si>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</si>
  <si>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</si>
  <si>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</si>
  <si>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</si>
  <si>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</si>
  <si>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</si>
  <si>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</si>
  <si>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</si>
  <si>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</si>
  <si>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</si>
  <si>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</si>
  <si>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</si>
  <si>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</si>
  <si>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</si>
  <si>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</si>
  <si>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</si>
  <si>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</si>
  <si>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</si>
  <si>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</si>
  <si>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</si>
  <si>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</si>
  <si>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</si>
  <si>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</si>
  <si>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</si>
  <si>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</si>
  <si>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</si>
  <si>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</si>
  <si>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</si>
  <si>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</si>
  <si>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</si>
  <si>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</si>
  <si>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</si>
  <si>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</si>
  <si>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</si>
  <si>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</si>
  <si>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</si>
  <si>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</si>
  <si>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</si>
  <si>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</si>
  <si>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</si>
  <si>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</si>
  <si>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</si>
  <si>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</si>
  <si>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</si>
  <si>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</si>
  <si>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</si>
  <si>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</si>
  <si>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</si>
  <si>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</si>
  <si>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</si>
  <si>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</si>
  <si>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</si>
  <si>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</si>
  <si>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</si>
  <si>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</si>
  <si>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</si>
  <si>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</si>
  <si>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</si>
  <si>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</si>
  <si>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</si>
  <si>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</si>
  <si>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</si>
  <si>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</si>
  <si>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</si>
  <si>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</si>
  <si>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</si>
  <si>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</si>
  <si>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</si>
  <si>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</si>
  <si>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</si>
  <si>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</si>
  <si>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</si>
  <si>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</si>
  <si>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</si>
  <si>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</si>
  <si>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</si>
  <si>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</si>
  <si>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</si>
  <si>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</si>
  <si>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</si>
  <si>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</si>
  <si>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</si>
  <si>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</si>
  <si>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</si>
  <si>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</si>
  <si>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</si>
  <si>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</si>
  <si>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</si>
  <si>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</si>
  <si>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</si>
  <si>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</si>
  <si>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</si>
  <si>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</si>
  <si>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</si>
  <si>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</si>
  <si>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</si>
  <si>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</si>
  <si>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</si>
  <si>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</si>
  <si>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</si>
  <si>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</si>
  <si>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</si>
  <si>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</si>
  <si>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</si>
  <si>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</si>
  <si>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</si>
  <si>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</si>
  <si>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</si>
  <si>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</si>
  <si>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</si>
  <si>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</si>
  <si>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</si>
  <si>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</si>
  <si>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</si>
  <si>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</si>
  <si>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</si>
  <si>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</si>
  <si>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</si>
  <si>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</si>
  <si>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</si>
  <si>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</si>
  <si>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</si>
  <si>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</si>
  <si>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</si>
  <si>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</si>
  <si>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</si>
  <si>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</si>
  <si>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</si>
  <si>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</si>
  <si>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</si>
  <si>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</si>
  <si>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</si>
  <si>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</si>
  <si>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</si>
  <si>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</si>
  <si>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</si>
  <si>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</si>
  <si>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</si>
  <si>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</si>
  <si>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</si>
  <si>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</si>
  <si>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</si>
  <si>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</si>
  <si>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</si>
  <si>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</si>
  <si>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</si>
  <si>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</si>
  <si>
    <t>Order Month Number</t>
  </si>
  <si>
    <t>Profit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</si>
</sst>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9" fontId="0" fillId="0" borderId="0" xfId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L12" workbookViewId="0">
      <selection activeCell="T24" sqref="T24"/>
    </sheetView>
  </sheetViews>
  <sheetFormatPr defaultRowHeight="14.5" x14ac:dyDescent="0.35"/>
  <cols>
    <col min="1" max="1" width="30.36328125" style="5" bestFit="1" customWidth="1"/>
    <col min="2" max="2" width="29.36328125" style="5" bestFit="1" customWidth="1"/>
    <col min="3" max="3" width="13.7265625" bestFit="1" customWidth="1"/>
    <col min="4" max="4" width="19.90625" bestFit="1" customWidth="1"/>
    <col min="5" max="5" width="16.81640625" bestFit="1" customWidth="1"/>
    <col min="6" max="6" width="16.90625" bestFit="1" customWidth="1"/>
    <col min="7" max="7" width="14.7265625" style="3" bestFit="1" customWidth="1"/>
    <col min="8" max="8" width="12.54296875" bestFit="1" customWidth="1"/>
    <col min="9" max="9" width="13.36328125" style="3" bestFit="1" customWidth="1"/>
    <col min="10" max="10" width="13.7265625" bestFit="1" customWidth="1"/>
    <col min="11" max="11" width="13.453125" bestFit="1" customWidth="1"/>
    <col min="12" max="12" width="13.08984375" bestFit="1" customWidth="1"/>
    <col min="13" max="13" width="17.26953125" bestFit="1" customWidth="1"/>
    <col min="14" max="14" width="13.81640625" bestFit="1" customWidth="1"/>
    <col min="15" max="15" width="14.81640625" bestFit="1" customWidth="1"/>
    <col min="16" max="16" width="18.453125" bestFit="1" customWidth="1"/>
    <col min="17" max="17" width="16.90625" bestFit="1" customWidth="1"/>
    <col min="18" max="18" width="14.453125" bestFit="1" customWidth="1"/>
    <col min="19" max="19" width="16.453125" bestFit="1" customWidth="1"/>
    <col min="20" max="20" width="22.6328125" bestFit="1" customWidth="1"/>
    <col min="21" max="21" width="13.54296875" bestFit="1" customWidth="1"/>
  </cols>
  <sheetData>
    <row r="1" spans="1:21" x14ac:dyDescent="0.3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7" t="s">
        <v>1229</v>
      </c>
      <c r="U1" s="7" t="s">
        <v>1230</v>
      </c>
    </row>
    <row r="2" spans="1:21" x14ac:dyDescent="0.35">
      <c r="A2" s="5" t="s">
        <v>19</v>
      </c>
      <c r="B2" s="5" t="s">
        <v>20</v>
      </c>
      <c r="C2" t="s">
        <v>21</v>
      </c>
      <c r="D2" t="s">
        <v>22</v>
      </c>
      <c r="E2" t="s">
        <v>23</v>
      </c>
      <c r="F2" t="s">
        <v>24</v>
      </c>
      <c r="G2" s="3">
        <v>41930</v>
      </c>
      <c r="H2">
        <v>686800706</v>
      </c>
      <c r="I2" s="3">
        <v>41943</v>
      </c>
      <c r="J2">
        <v>8446</v>
      </c>
      <c r="K2">
        <v>437.2</v>
      </c>
      <c r="L2">
        <v>263.33</v>
      </c>
      <c r="M2">
        <f>J2*K2</f>
        <v>3692591.1999999997</v>
      </c>
      <c r="N2">
        <f>J2*L2</f>
        <v>2224085.1799999997</v>
      </c>
      <c r="O2">
        <f>M2-N2</f>
        <v>1468506.02</v>
      </c>
      <c r="P2" s="6">
        <f>O2/M2</f>
        <v>0.3976898444647759</v>
      </c>
      <c r="Q2">
        <f>I2-G2</f>
        <v>13</v>
      </c>
      <c r="R2">
        <f>YEAR(G2)</f>
        <v>2014</v>
      </c>
      <c r="S2" t="str">
        <f>TEXT(G2,"mmmm")</f>
        <v>October</v>
      </c>
      <c r="T2">
        <f>MONTH(G2)</f>
        <v>10</v>
      </c>
      <c r="U2" t="str">
        <f>IF(O2&gt;=500000,"High Profit",
IF(O2&gt;=100000,"Medium Profit","Low Profit"))</f>
        <v>High Profit</v>
      </c>
    </row>
    <row r="3" spans="1:21" x14ac:dyDescent="0.35">
      <c r="A3" s="5" t="s">
        <v>25</v>
      </c>
      <c r="B3" s="5" t="s">
        <v>26</v>
      </c>
      <c r="C3" t="s">
        <v>27</v>
      </c>
      <c r="D3" t="s">
        <v>28</v>
      </c>
      <c r="E3" t="s">
        <v>29</v>
      </c>
      <c r="F3" t="s">
        <v>24</v>
      </c>
      <c r="G3" s="3">
        <v>40854</v>
      </c>
      <c r="H3">
        <v>185941302</v>
      </c>
      <c r="I3" s="3">
        <v>40885</v>
      </c>
      <c r="J3">
        <v>3018</v>
      </c>
      <c r="K3">
        <v>154.06</v>
      </c>
      <c r="L3">
        <v>90.93</v>
      </c>
      <c r="M3">
        <f t="shared" ref="M3:M66" si="0">J3*K3</f>
        <v>464953.08</v>
      </c>
      <c r="N3">
        <f t="shared" ref="N3:N66" si="1">J3*L3</f>
        <v>274426.74000000005</v>
      </c>
      <c r="O3">
        <f t="shared" ref="O3:O66" si="2">M3-N3</f>
        <v>190526.33999999997</v>
      </c>
      <c r="P3" s="6">
        <f t="shared" ref="P3:P66" si="3">O3/M3</f>
        <v>0.40977541217707381</v>
      </c>
      <c r="Q3">
        <f t="shared" ref="Q3:Q66" si="4">I3-G3</f>
        <v>31</v>
      </c>
      <c r="R3">
        <f t="shared" ref="R3:R66" si="5">YEAR(G3)</f>
        <v>2011</v>
      </c>
      <c r="S3" t="str">
        <f t="shared" ref="S3:S66" si="6">TEXT(G3,"mmmm")</f>
        <v>November</v>
      </c>
      <c r="T3">
        <f t="shared" ref="T3:T66" si="7">MONTH(G3)</f>
        <v>11</v>
      </c>
      <c r="U3" t="str">
        <f t="shared" ref="U3:U66" si="8">IF(O3&gt;=500000,"High Profit",
IF(O3&gt;=100000,"Medium Profit","Low Profit"))</f>
        <v>Medium Profit</v>
      </c>
    </row>
    <row r="4" spans="1:21" x14ac:dyDescent="0.35">
      <c r="A4" s="5" t="s">
        <v>19</v>
      </c>
      <c r="B4" s="5" t="s">
        <v>20</v>
      </c>
      <c r="C4" t="s">
        <v>30</v>
      </c>
      <c r="D4" t="s">
        <v>31</v>
      </c>
      <c r="E4" t="s">
        <v>23</v>
      </c>
      <c r="F4" t="s">
        <v>32</v>
      </c>
      <c r="G4" s="3">
        <v>42674</v>
      </c>
      <c r="H4">
        <v>246222341</v>
      </c>
      <c r="I4" s="3">
        <v>42713</v>
      </c>
      <c r="J4">
        <v>1517</v>
      </c>
      <c r="K4">
        <v>255.28</v>
      </c>
      <c r="L4">
        <v>159.41999999999999</v>
      </c>
      <c r="M4">
        <f t="shared" si="0"/>
        <v>387259.76</v>
      </c>
      <c r="N4">
        <f t="shared" si="1"/>
        <v>241840.13999999998</v>
      </c>
      <c r="O4">
        <f t="shared" si="2"/>
        <v>145419.62000000002</v>
      </c>
      <c r="P4" s="6">
        <f t="shared" si="3"/>
        <v>0.37550924475086184</v>
      </c>
      <c r="Q4">
        <f t="shared" si="4"/>
        <v>39</v>
      </c>
      <c r="R4">
        <f t="shared" si="5"/>
        <v>2016</v>
      </c>
      <c r="S4" t="str">
        <f t="shared" si="6"/>
        <v>October</v>
      </c>
      <c r="T4">
        <f t="shared" si="7"/>
        <v>10</v>
      </c>
      <c r="U4" t="str">
        <f t="shared" si="8"/>
        <v>Medium Profit</v>
      </c>
    </row>
    <row r="5" spans="1:21" x14ac:dyDescent="0.35">
      <c r="A5" s="5" t="s">
        <v>33</v>
      </c>
      <c r="B5" s="5" t="s">
        <v>34</v>
      </c>
      <c r="C5" t="s">
        <v>35</v>
      </c>
      <c r="D5" t="s">
        <v>36</v>
      </c>
      <c r="E5" t="s">
        <v>23</v>
      </c>
      <c r="F5" t="s">
        <v>32</v>
      </c>
      <c r="G5" s="3">
        <v>40278</v>
      </c>
      <c r="H5">
        <v>161442649</v>
      </c>
      <c r="I5" s="3">
        <v>40310</v>
      </c>
      <c r="J5">
        <v>3322</v>
      </c>
      <c r="K5">
        <v>205.7</v>
      </c>
      <c r="L5">
        <v>117.11</v>
      </c>
      <c r="M5">
        <f t="shared" si="0"/>
        <v>683335.39999999991</v>
      </c>
      <c r="N5">
        <f t="shared" si="1"/>
        <v>389039.42</v>
      </c>
      <c r="O5">
        <f t="shared" si="2"/>
        <v>294295.97999999992</v>
      </c>
      <c r="P5" s="6">
        <f t="shared" si="3"/>
        <v>0.43067574137092846</v>
      </c>
      <c r="Q5">
        <f t="shared" si="4"/>
        <v>32</v>
      </c>
      <c r="R5">
        <f t="shared" si="5"/>
        <v>2010</v>
      </c>
      <c r="S5" t="str">
        <f t="shared" si="6"/>
        <v>April</v>
      </c>
      <c r="T5">
        <f t="shared" si="7"/>
        <v>4</v>
      </c>
      <c r="U5" t="str">
        <f t="shared" si="8"/>
        <v>Medium Profit</v>
      </c>
    </row>
    <row r="6" spans="1:21" x14ac:dyDescent="0.35">
      <c r="A6" s="5" t="s">
        <v>37</v>
      </c>
      <c r="B6" s="5" t="s">
        <v>38</v>
      </c>
      <c r="C6" t="s">
        <v>39</v>
      </c>
      <c r="D6" t="s">
        <v>40</v>
      </c>
      <c r="E6" t="s">
        <v>23</v>
      </c>
      <c r="F6" t="s">
        <v>41</v>
      </c>
      <c r="G6" s="3">
        <v>40771</v>
      </c>
      <c r="H6">
        <v>645713555</v>
      </c>
      <c r="I6" s="3">
        <v>40786</v>
      </c>
      <c r="J6">
        <v>9845</v>
      </c>
      <c r="K6">
        <v>9.33</v>
      </c>
      <c r="L6">
        <v>6.92</v>
      </c>
      <c r="M6">
        <f t="shared" si="0"/>
        <v>91853.85</v>
      </c>
      <c r="N6">
        <f t="shared" si="1"/>
        <v>68127.399999999994</v>
      </c>
      <c r="O6">
        <f t="shared" si="2"/>
        <v>23726.450000000012</v>
      </c>
      <c r="P6" s="6">
        <f t="shared" si="3"/>
        <v>0.25830653804930342</v>
      </c>
      <c r="Q6">
        <f t="shared" si="4"/>
        <v>15</v>
      </c>
      <c r="R6">
        <f t="shared" si="5"/>
        <v>2011</v>
      </c>
      <c r="S6" t="str">
        <f t="shared" si="6"/>
        <v>August</v>
      </c>
      <c r="T6">
        <f t="shared" si="7"/>
        <v>8</v>
      </c>
      <c r="U6" t="str">
        <f t="shared" si="8"/>
        <v>Low Profit</v>
      </c>
    </row>
    <row r="7" spans="1:21" x14ac:dyDescent="0.35">
      <c r="A7" s="5" t="s">
        <v>42</v>
      </c>
      <c r="B7" s="5" t="s">
        <v>43</v>
      </c>
      <c r="C7" t="s">
        <v>35</v>
      </c>
      <c r="D7" t="s">
        <v>44</v>
      </c>
      <c r="E7" t="s">
        <v>29</v>
      </c>
      <c r="F7" t="s">
        <v>41</v>
      </c>
      <c r="G7" s="3">
        <v>41967</v>
      </c>
      <c r="H7">
        <v>683458888</v>
      </c>
      <c r="I7" s="3">
        <v>42001</v>
      </c>
      <c r="J7">
        <v>9528</v>
      </c>
      <c r="K7">
        <v>205.7</v>
      </c>
      <c r="L7">
        <v>117.11</v>
      </c>
      <c r="M7">
        <f t="shared" si="0"/>
        <v>1959909.5999999999</v>
      </c>
      <c r="N7">
        <f t="shared" si="1"/>
        <v>1115824.08</v>
      </c>
      <c r="O7">
        <f t="shared" si="2"/>
        <v>844085.51999999979</v>
      </c>
      <c r="P7" s="6">
        <f t="shared" si="3"/>
        <v>0.43067574137092846</v>
      </c>
      <c r="Q7">
        <f t="shared" si="4"/>
        <v>34</v>
      </c>
      <c r="R7">
        <f t="shared" si="5"/>
        <v>2014</v>
      </c>
      <c r="S7" t="str">
        <f t="shared" si="6"/>
        <v>November</v>
      </c>
      <c r="T7">
        <f t="shared" si="7"/>
        <v>11</v>
      </c>
      <c r="U7" t="str">
        <f t="shared" si="8"/>
        <v>High Profit</v>
      </c>
    </row>
    <row r="8" spans="1:21" x14ac:dyDescent="0.35">
      <c r="A8" s="5" t="s">
        <v>37</v>
      </c>
      <c r="B8" s="5" t="s">
        <v>45</v>
      </c>
      <c r="C8" t="s">
        <v>35</v>
      </c>
      <c r="D8" t="s">
        <v>46</v>
      </c>
      <c r="E8" t="s">
        <v>29</v>
      </c>
      <c r="F8" t="s">
        <v>41</v>
      </c>
      <c r="G8" s="3">
        <v>42067</v>
      </c>
      <c r="H8">
        <v>679414975</v>
      </c>
      <c r="I8" s="3">
        <v>42111</v>
      </c>
      <c r="J8">
        <v>2844</v>
      </c>
      <c r="K8">
        <v>205.7</v>
      </c>
      <c r="L8">
        <v>117.11</v>
      </c>
      <c r="M8">
        <f t="shared" si="0"/>
        <v>585010.79999999993</v>
      </c>
      <c r="N8">
        <f t="shared" si="1"/>
        <v>333060.84000000003</v>
      </c>
      <c r="O8">
        <f t="shared" si="2"/>
        <v>251949.9599999999</v>
      </c>
      <c r="P8" s="6">
        <f t="shared" si="3"/>
        <v>0.4306757413709284</v>
      </c>
      <c r="Q8">
        <f t="shared" si="4"/>
        <v>44</v>
      </c>
      <c r="R8">
        <f t="shared" si="5"/>
        <v>2015</v>
      </c>
      <c r="S8" t="str">
        <f t="shared" si="6"/>
        <v>March</v>
      </c>
      <c r="T8">
        <f t="shared" si="7"/>
        <v>3</v>
      </c>
      <c r="U8" t="str">
        <f t="shared" si="8"/>
        <v>Medium Profit</v>
      </c>
    </row>
    <row r="9" spans="1:21" x14ac:dyDescent="0.35">
      <c r="A9" s="5" t="s">
        <v>42</v>
      </c>
      <c r="B9" s="5" t="s">
        <v>47</v>
      </c>
      <c r="C9" t="s">
        <v>48</v>
      </c>
      <c r="D9" t="s">
        <v>49</v>
      </c>
      <c r="E9" t="s">
        <v>23</v>
      </c>
      <c r="F9" t="s">
        <v>24</v>
      </c>
      <c r="G9" s="3">
        <v>41046</v>
      </c>
      <c r="H9">
        <v>208630645</v>
      </c>
      <c r="I9" s="3">
        <v>41088</v>
      </c>
      <c r="J9">
        <v>7299</v>
      </c>
      <c r="K9">
        <v>109.28</v>
      </c>
      <c r="L9">
        <v>35.840000000000003</v>
      </c>
      <c r="M9">
        <f t="shared" si="0"/>
        <v>797634.72</v>
      </c>
      <c r="N9">
        <f t="shared" si="1"/>
        <v>261596.16000000003</v>
      </c>
      <c r="O9">
        <f t="shared" si="2"/>
        <v>536038.55999999994</v>
      </c>
      <c r="P9" s="6">
        <f t="shared" si="3"/>
        <v>0.67203513909224011</v>
      </c>
      <c r="Q9">
        <f t="shared" si="4"/>
        <v>42</v>
      </c>
      <c r="R9">
        <f t="shared" si="5"/>
        <v>2012</v>
      </c>
      <c r="S9" t="str">
        <f t="shared" si="6"/>
        <v>May</v>
      </c>
      <c r="T9">
        <f t="shared" si="7"/>
        <v>5</v>
      </c>
      <c r="U9" t="str">
        <f t="shared" si="8"/>
        <v>High Profit</v>
      </c>
    </row>
    <row r="10" spans="1:21" x14ac:dyDescent="0.35">
      <c r="A10" s="5" t="s">
        <v>50</v>
      </c>
      <c r="B10" s="5" t="s">
        <v>51</v>
      </c>
      <c r="C10" t="s">
        <v>27</v>
      </c>
      <c r="D10" t="s">
        <v>52</v>
      </c>
      <c r="E10" t="s">
        <v>29</v>
      </c>
      <c r="F10" t="s">
        <v>41</v>
      </c>
      <c r="G10" s="3">
        <v>42033</v>
      </c>
      <c r="H10">
        <v>266467225</v>
      </c>
      <c r="I10" s="3">
        <v>42070</v>
      </c>
      <c r="J10">
        <v>2428</v>
      </c>
      <c r="K10">
        <v>154.06</v>
      </c>
      <c r="L10">
        <v>90.93</v>
      </c>
      <c r="M10">
        <f t="shared" si="0"/>
        <v>374057.68</v>
      </c>
      <c r="N10">
        <f t="shared" si="1"/>
        <v>220778.04</v>
      </c>
      <c r="O10">
        <f t="shared" si="2"/>
        <v>153279.63999999998</v>
      </c>
      <c r="P10" s="6">
        <f t="shared" si="3"/>
        <v>0.40977541217707386</v>
      </c>
      <c r="Q10">
        <f t="shared" si="4"/>
        <v>37</v>
      </c>
      <c r="R10">
        <f t="shared" si="5"/>
        <v>2015</v>
      </c>
      <c r="S10" t="str">
        <f t="shared" si="6"/>
        <v>January</v>
      </c>
      <c r="T10">
        <f t="shared" si="7"/>
        <v>1</v>
      </c>
      <c r="U10" t="str">
        <f t="shared" si="8"/>
        <v>Medium Profit</v>
      </c>
    </row>
    <row r="11" spans="1:21" x14ac:dyDescent="0.35">
      <c r="A11" s="5" t="s">
        <v>53</v>
      </c>
      <c r="B11" s="5" t="s">
        <v>54</v>
      </c>
      <c r="C11" t="s">
        <v>27</v>
      </c>
      <c r="D11" t="s">
        <v>55</v>
      </c>
      <c r="E11" t="s">
        <v>23</v>
      </c>
      <c r="F11" t="s">
        <v>41</v>
      </c>
      <c r="G11" s="3">
        <v>41632</v>
      </c>
      <c r="H11">
        <v>118598544</v>
      </c>
      <c r="I11" s="3">
        <v>41658</v>
      </c>
      <c r="J11">
        <v>4800</v>
      </c>
      <c r="K11">
        <v>154.06</v>
      </c>
      <c r="L11">
        <v>90.93</v>
      </c>
      <c r="M11">
        <f t="shared" si="0"/>
        <v>739488</v>
      </c>
      <c r="N11">
        <f t="shared" si="1"/>
        <v>436464.00000000006</v>
      </c>
      <c r="O11">
        <f t="shared" si="2"/>
        <v>303023.99999999994</v>
      </c>
      <c r="P11" s="6">
        <f t="shared" si="3"/>
        <v>0.40977541217707381</v>
      </c>
      <c r="Q11">
        <f t="shared" si="4"/>
        <v>26</v>
      </c>
      <c r="R11">
        <f t="shared" si="5"/>
        <v>2013</v>
      </c>
      <c r="S11" t="str">
        <f t="shared" si="6"/>
        <v>December</v>
      </c>
      <c r="T11">
        <f t="shared" si="7"/>
        <v>12</v>
      </c>
      <c r="U11" t="str">
        <f t="shared" si="8"/>
        <v>Medium Profit</v>
      </c>
    </row>
    <row r="12" spans="1:21" x14ac:dyDescent="0.35">
      <c r="A12" s="5" t="s">
        <v>37</v>
      </c>
      <c r="B12" s="5" t="s">
        <v>56</v>
      </c>
      <c r="C12" t="s">
        <v>48</v>
      </c>
      <c r="D12" t="s">
        <v>57</v>
      </c>
      <c r="E12" t="s">
        <v>29</v>
      </c>
      <c r="F12" t="s">
        <v>24</v>
      </c>
      <c r="G12" s="3">
        <v>42367</v>
      </c>
      <c r="H12">
        <v>451010930</v>
      </c>
      <c r="I12" s="3">
        <v>42388</v>
      </c>
      <c r="J12">
        <v>3012</v>
      </c>
      <c r="K12">
        <v>109.28</v>
      </c>
      <c r="L12">
        <v>35.840000000000003</v>
      </c>
      <c r="M12">
        <f t="shared" si="0"/>
        <v>329151.35999999999</v>
      </c>
      <c r="N12">
        <f t="shared" si="1"/>
        <v>107950.08000000002</v>
      </c>
      <c r="O12">
        <f t="shared" si="2"/>
        <v>221201.27999999997</v>
      </c>
      <c r="P12" s="6">
        <f t="shared" si="3"/>
        <v>0.67203513909224011</v>
      </c>
      <c r="Q12">
        <f t="shared" si="4"/>
        <v>21</v>
      </c>
      <c r="R12">
        <f t="shared" si="5"/>
        <v>2015</v>
      </c>
      <c r="S12" t="str">
        <f t="shared" si="6"/>
        <v>December</v>
      </c>
      <c r="T12">
        <f t="shared" si="7"/>
        <v>12</v>
      </c>
      <c r="U12" t="str">
        <f t="shared" si="8"/>
        <v>Medium Profit</v>
      </c>
    </row>
    <row r="13" spans="1:21" x14ac:dyDescent="0.35">
      <c r="A13" s="5" t="s">
        <v>42</v>
      </c>
      <c r="B13" s="5" t="s">
        <v>47</v>
      </c>
      <c r="C13" t="s">
        <v>58</v>
      </c>
      <c r="D13" t="s">
        <v>59</v>
      </c>
      <c r="E13" t="s">
        <v>23</v>
      </c>
      <c r="F13" t="s">
        <v>24</v>
      </c>
      <c r="G13" s="3">
        <v>40236</v>
      </c>
      <c r="H13">
        <v>220003211</v>
      </c>
      <c r="I13" s="3">
        <v>40255</v>
      </c>
      <c r="J13">
        <v>2694</v>
      </c>
      <c r="K13">
        <v>152.58000000000001</v>
      </c>
      <c r="L13">
        <v>97.44</v>
      </c>
      <c r="M13">
        <f t="shared" si="0"/>
        <v>411050.52</v>
      </c>
      <c r="N13">
        <f t="shared" si="1"/>
        <v>262503.36</v>
      </c>
      <c r="O13">
        <f t="shared" si="2"/>
        <v>148547.16000000003</v>
      </c>
      <c r="P13" s="6">
        <f t="shared" si="3"/>
        <v>0.36138419189933157</v>
      </c>
      <c r="Q13">
        <f t="shared" si="4"/>
        <v>19</v>
      </c>
      <c r="R13">
        <f t="shared" si="5"/>
        <v>2010</v>
      </c>
      <c r="S13" t="str">
        <f t="shared" si="6"/>
        <v>February</v>
      </c>
      <c r="T13">
        <f t="shared" si="7"/>
        <v>2</v>
      </c>
      <c r="U13" t="str">
        <f t="shared" si="8"/>
        <v>Medium Profit</v>
      </c>
    </row>
    <row r="14" spans="1:21" x14ac:dyDescent="0.35">
      <c r="A14" s="5" t="s">
        <v>42</v>
      </c>
      <c r="B14" s="5" t="s">
        <v>34</v>
      </c>
      <c r="C14" t="s">
        <v>60</v>
      </c>
      <c r="D14" t="s">
        <v>61</v>
      </c>
      <c r="E14" t="s">
        <v>29</v>
      </c>
      <c r="F14" t="s">
        <v>32</v>
      </c>
      <c r="G14" s="3">
        <v>42691</v>
      </c>
      <c r="H14">
        <v>702186715</v>
      </c>
      <c r="I14" s="3">
        <v>42726</v>
      </c>
      <c r="J14">
        <v>1508</v>
      </c>
      <c r="K14">
        <v>668.27</v>
      </c>
      <c r="L14">
        <v>502.54</v>
      </c>
      <c r="M14">
        <f t="shared" si="0"/>
        <v>1007751.1599999999</v>
      </c>
      <c r="N14">
        <f t="shared" si="1"/>
        <v>757830.32000000007</v>
      </c>
      <c r="O14">
        <f t="shared" si="2"/>
        <v>249920.83999999985</v>
      </c>
      <c r="P14" s="6">
        <f t="shared" si="3"/>
        <v>0.24799856345489085</v>
      </c>
      <c r="Q14">
        <f t="shared" si="4"/>
        <v>35</v>
      </c>
      <c r="R14">
        <f t="shared" si="5"/>
        <v>2016</v>
      </c>
      <c r="S14" t="str">
        <f t="shared" si="6"/>
        <v>November</v>
      </c>
      <c r="T14">
        <f t="shared" si="7"/>
        <v>11</v>
      </c>
      <c r="U14" t="str">
        <f t="shared" si="8"/>
        <v>Medium Profit</v>
      </c>
    </row>
    <row r="15" spans="1:21" x14ac:dyDescent="0.35">
      <c r="A15" s="5" t="s">
        <v>37</v>
      </c>
      <c r="B15" s="5" t="s">
        <v>62</v>
      </c>
      <c r="C15" t="s">
        <v>21</v>
      </c>
      <c r="D15" t="s">
        <v>63</v>
      </c>
      <c r="E15" t="s">
        <v>29</v>
      </c>
      <c r="F15" t="s">
        <v>32</v>
      </c>
      <c r="G15" s="3">
        <v>42358</v>
      </c>
      <c r="H15">
        <v>544485270</v>
      </c>
      <c r="I15" s="3">
        <v>42374</v>
      </c>
      <c r="J15">
        <v>4146</v>
      </c>
      <c r="K15">
        <v>437.2</v>
      </c>
      <c r="L15">
        <v>263.33</v>
      </c>
      <c r="M15">
        <f t="shared" si="0"/>
        <v>1812631.2</v>
      </c>
      <c r="N15">
        <f t="shared" si="1"/>
        <v>1091766.18</v>
      </c>
      <c r="O15">
        <f t="shared" si="2"/>
        <v>720865.02</v>
      </c>
      <c r="P15" s="6">
        <f t="shared" si="3"/>
        <v>0.39768984446477584</v>
      </c>
      <c r="Q15">
        <f t="shared" si="4"/>
        <v>16</v>
      </c>
      <c r="R15">
        <f t="shared" si="5"/>
        <v>2015</v>
      </c>
      <c r="S15" t="str">
        <f t="shared" si="6"/>
        <v>December</v>
      </c>
      <c r="T15">
        <f t="shared" si="7"/>
        <v>12</v>
      </c>
      <c r="U15" t="str">
        <f t="shared" si="8"/>
        <v>High Profit</v>
      </c>
    </row>
    <row r="16" spans="1:21" x14ac:dyDescent="0.35">
      <c r="A16" s="5" t="s">
        <v>33</v>
      </c>
      <c r="B16" s="5" t="s">
        <v>64</v>
      </c>
      <c r="C16" t="s">
        <v>39</v>
      </c>
      <c r="D16" t="s">
        <v>65</v>
      </c>
      <c r="E16" t="s">
        <v>23</v>
      </c>
      <c r="F16" t="s">
        <v>66</v>
      </c>
      <c r="G16" s="3">
        <v>40551</v>
      </c>
      <c r="H16">
        <v>714135205</v>
      </c>
      <c r="I16" s="3">
        <v>40580</v>
      </c>
      <c r="J16">
        <v>7332</v>
      </c>
      <c r="K16">
        <v>9.33</v>
      </c>
      <c r="L16">
        <v>6.92</v>
      </c>
      <c r="M16">
        <f t="shared" si="0"/>
        <v>68407.56</v>
      </c>
      <c r="N16">
        <f t="shared" si="1"/>
        <v>50737.440000000002</v>
      </c>
      <c r="O16">
        <f t="shared" si="2"/>
        <v>17670.119999999995</v>
      </c>
      <c r="P16" s="6">
        <f t="shared" si="3"/>
        <v>0.25830653804930326</v>
      </c>
      <c r="Q16">
        <f t="shared" si="4"/>
        <v>29</v>
      </c>
      <c r="R16">
        <f t="shared" si="5"/>
        <v>2011</v>
      </c>
      <c r="S16" t="str">
        <f t="shared" si="6"/>
        <v>January</v>
      </c>
      <c r="T16">
        <f t="shared" si="7"/>
        <v>1</v>
      </c>
      <c r="U16" t="str">
        <f t="shared" si="8"/>
        <v>Low Profit</v>
      </c>
    </row>
    <row r="17" spans="1:21" x14ac:dyDescent="0.35">
      <c r="A17" s="5" t="s">
        <v>42</v>
      </c>
      <c r="B17" s="5" t="s">
        <v>47</v>
      </c>
      <c r="C17" t="s">
        <v>48</v>
      </c>
      <c r="D17" t="s">
        <v>67</v>
      </c>
      <c r="E17" t="s">
        <v>23</v>
      </c>
      <c r="F17" t="s">
        <v>41</v>
      </c>
      <c r="G17" s="3">
        <v>40357</v>
      </c>
      <c r="H17">
        <v>448685348</v>
      </c>
      <c r="I17" s="3">
        <v>40381</v>
      </c>
      <c r="J17">
        <v>4820</v>
      </c>
      <c r="K17">
        <v>109.28</v>
      </c>
      <c r="L17">
        <v>35.840000000000003</v>
      </c>
      <c r="M17">
        <f t="shared" si="0"/>
        <v>526729.6</v>
      </c>
      <c r="N17">
        <f t="shared" si="1"/>
        <v>172748.80000000002</v>
      </c>
      <c r="O17">
        <f t="shared" si="2"/>
        <v>353980.79999999993</v>
      </c>
      <c r="P17" s="6">
        <f t="shared" si="3"/>
        <v>0.67203513909224</v>
      </c>
      <c r="Q17">
        <f t="shared" si="4"/>
        <v>24</v>
      </c>
      <c r="R17">
        <f t="shared" si="5"/>
        <v>2010</v>
      </c>
      <c r="S17" t="str">
        <f t="shared" si="6"/>
        <v>June</v>
      </c>
      <c r="T17">
        <f t="shared" si="7"/>
        <v>6</v>
      </c>
      <c r="U17" t="str">
        <f t="shared" si="8"/>
        <v>Medium Profit</v>
      </c>
    </row>
    <row r="18" spans="1:21" x14ac:dyDescent="0.35">
      <c r="A18" s="5" t="s">
        <v>42</v>
      </c>
      <c r="B18" s="5" t="s">
        <v>68</v>
      </c>
      <c r="C18" t="s">
        <v>69</v>
      </c>
      <c r="D18" t="s">
        <v>70</v>
      </c>
      <c r="E18" t="s">
        <v>29</v>
      </c>
      <c r="F18" t="s">
        <v>41</v>
      </c>
      <c r="G18" s="3">
        <v>42485</v>
      </c>
      <c r="H18">
        <v>405997025</v>
      </c>
      <c r="I18" s="3">
        <v>42502</v>
      </c>
      <c r="J18">
        <v>2397</v>
      </c>
      <c r="K18">
        <v>651.21</v>
      </c>
      <c r="L18">
        <v>524.96</v>
      </c>
      <c r="M18">
        <f t="shared" si="0"/>
        <v>1560950.37</v>
      </c>
      <c r="N18">
        <f t="shared" si="1"/>
        <v>1258329.1200000001</v>
      </c>
      <c r="O18">
        <f t="shared" si="2"/>
        <v>302621.25</v>
      </c>
      <c r="P18" s="6">
        <f t="shared" si="3"/>
        <v>0.19386987300563566</v>
      </c>
      <c r="Q18">
        <f t="shared" si="4"/>
        <v>17</v>
      </c>
      <c r="R18">
        <f t="shared" si="5"/>
        <v>2016</v>
      </c>
      <c r="S18" t="str">
        <f t="shared" si="6"/>
        <v>April</v>
      </c>
      <c r="T18">
        <f t="shared" si="7"/>
        <v>4</v>
      </c>
      <c r="U18" t="str">
        <f t="shared" si="8"/>
        <v>Medium Profit</v>
      </c>
    </row>
    <row r="19" spans="1:21" x14ac:dyDescent="0.35">
      <c r="A19" s="5" t="s">
        <v>25</v>
      </c>
      <c r="B19" s="5" t="s">
        <v>71</v>
      </c>
      <c r="C19" t="s">
        <v>72</v>
      </c>
      <c r="D19" t="s">
        <v>73</v>
      </c>
      <c r="E19" t="s">
        <v>29</v>
      </c>
      <c r="F19" t="s">
        <v>24</v>
      </c>
      <c r="G19" s="3">
        <v>41117</v>
      </c>
      <c r="H19">
        <v>414244067</v>
      </c>
      <c r="I19" s="3">
        <v>41128</v>
      </c>
      <c r="J19">
        <v>2880</v>
      </c>
      <c r="K19">
        <v>47.45</v>
      </c>
      <c r="L19">
        <v>31.79</v>
      </c>
      <c r="M19">
        <f t="shared" si="0"/>
        <v>136656</v>
      </c>
      <c r="N19">
        <f t="shared" si="1"/>
        <v>91555.199999999997</v>
      </c>
      <c r="O19">
        <f t="shared" si="2"/>
        <v>45100.800000000003</v>
      </c>
      <c r="P19" s="6">
        <f t="shared" si="3"/>
        <v>0.33003161222339306</v>
      </c>
      <c r="Q19">
        <f t="shared" si="4"/>
        <v>11</v>
      </c>
      <c r="R19">
        <f t="shared" si="5"/>
        <v>2012</v>
      </c>
      <c r="S19" t="str">
        <f t="shared" si="6"/>
        <v>July</v>
      </c>
      <c r="T19">
        <f t="shared" si="7"/>
        <v>7</v>
      </c>
      <c r="U19" t="str">
        <f t="shared" si="8"/>
        <v>Low Profit</v>
      </c>
    </row>
    <row r="20" spans="1:21" x14ac:dyDescent="0.35">
      <c r="A20" s="5" t="s">
        <v>37</v>
      </c>
      <c r="B20" s="5" t="s">
        <v>74</v>
      </c>
      <c r="C20" t="s">
        <v>48</v>
      </c>
      <c r="D20" t="s">
        <v>75</v>
      </c>
      <c r="E20" t="s">
        <v>29</v>
      </c>
      <c r="F20" t="s">
        <v>32</v>
      </c>
      <c r="G20" s="3">
        <v>41890</v>
      </c>
      <c r="H20">
        <v>821912801</v>
      </c>
      <c r="I20" s="3">
        <v>41915</v>
      </c>
      <c r="J20">
        <v>1117</v>
      </c>
      <c r="K20">
        <v>109.28</v>
      </c>
      <c r="L20">
        <v>35.840000000000003</v>
      </c>
      <c r="M20">
        <f t="shared" si="0"/>
        <v>122065.76</v>
      </c>
      <c r="N20">
        <f t="shared" si="1"/>
        <v>40033.280000000006</v>
      </c>
      <c r="O20">
        <f t="shared" si="2"/>
        <v>82032.479999999981</v>
      </c>
      <c r="P20" s="6">
        <f t="shared" si="3"/>
        <v>0.67203513909224</v>
      </c>
      <c r="Q20">
        <f t="shared" si="4"/>
        <v>25</v>
      </c>
      <c r="R20">
        <f t="shared" si="5"/>
        <v>2014</v>
      </c>
      <c r="S20" t="str">
        <f t="shared" si="6"/>
        <v>September</v>
      </c>
      <c r="T20">
        <f t="shared" si="7"/>
        <v>9</v>
      </c>
      <c r="U20" t="str">
        <f t="shared" si="8"/>
        <v>Low Profit</v>
      </c>
    </row>
    <row r="21" spans="1:21" x14ac:dyDescent="0.35">
      <c r="A21" s="5" t="s">
        <v>37</v>
      </c>
      <c r="B21" s="5" t="s">
        <v>76</v>
      </c>
      <c r="C21" t="s">
        <v>60</v>
      </c>
      <c r="D21" t="s">
        <v>77</v>
      </c>
      <c r="E21" t="s">
        <v>23</v>
      </c>
      <c r="F21" t="s">
        <v>66</v>
      </c>
      <c r="G21" s="3">
        <v>41148</v>
      </c>
      <c r="H21">
        <v>247802054</v>
      </c>
      <c r="I21" s="3">
        <v>41160</v>
      </c>
      <c r="J21">
        <v>8989</v>
      </c>
      <c r="K21">
        <v>668.27</v>
      </c>
      <c r="L21">
        <v>502.54</v>
      </c>
      <c r="M21">
        <f t="shared" si="0"/>
        <v>6007079.0300000003</v>
      </c>
      <c r="N21">
        <f t="shared" si="1"/>
        <v>4517332.0600000005</v>
      </c>
      <c r="O21">
        <f t="shared" si="2"/>
        <v>1489746.9699999997</v>
      </c>
      <c r="P21" s="6">
        <f t="shared" si="3"/>
        <v>0.24799856345489094</v>
      </c>
      <c r="Q21">
        <f t="shared" si="4"/>
        <v>12</v>
      </c>
      <c r="R21">
        <f t="shared" si="5"/>
        <v>2012</v>
      </c>
      <c r="S21" t="str">
        <f t="shared" si="6"/>
        <v>August</v>
      </c>
      <c r="T21">
        <f t="shared" si="7"/>
        <v>8</v>
      </c>
      <c r="U21" t="str">
        <f t="shared" si="8"/>
        <v>High Profit</v>
      </c>
    </row>
    <row r="22" spans="1:21" x14ac:dyDescent="0.35">
      <c r="A22" s="5" t="s">
        <v>53</v>
      </c>
      <c r="B22" s="5" t="s">
        <v>78</v>
      </c>
      <c r="C22" t="s">
        <v>58</v>
      </c>
      <c r="D22" t="s">
        <v>79</v>
      </c>
      <c r="E22" t="s">
        <v>29</v>
      </c>
      <c r="F22" t="s">
        <v>32</v>
      </c>
      <c r="G22" s="3">
        <v>41155</v>
      </c>
      <c r="H22">
        <v>531023156</v>
      </c>
      <c r="I22" s="3">
        <v>41197</v>
      </c>
      <c r="J22">
        <v>407</v>
      </c>
      <c r="K22">
        <v>152.58000000000001</v>
      </c>
      <c r="L22">
        <v>97.44</v>
      </c>
      <c r="M22">
        <f t="shared" si="0"/>
        <v>62100.060000000005</v>
      </c>
      <c r="N22">
        <f t="shared" si="1"/>
        <v>39658.080000000002</v>
      </c>
      <c r="O22">
        <f t="shared" si="2"/>
        <v>22441.980000000003</v>
      </c>
      <c r="P22" s="6">
        <f t="shared" si="3"/>
        <v>0.36138419189933152</v>
      </c>
      <c r="Q22">
        <f t="shared" si="4"/>
        <v>42</v>
      </c>
      <c r="R22">
        <f t="shared" si="5"/>
        <v>2012</v>
      </c>
      <c r="S22" t="str">
        <f t="shared" si="6"/>
        <v>September</v>
      </c>
      <c r="T22">
        <f t="shared" si="7"/>
        <v>9</v>
      </c>
      <c r="U22" t="str">
        <f t="shared" si="8"/>
        <v>Low Profit</v>
      </c>
    </row>
    <row r="23" spans="1:21" x14ac:dyDescent="0.35">
      <c r="A23" s="5" t="s">
        <v>42</v>
      </c>
      <c r="B23" s="5" t="s">
        <v>80</v>
      </c>
      <c r="C23" t="s">
        <v>48</v>
      </c>
      <c r="D23" t="s">
        <v>81</v>
      </c>
      <c r="E23" t="s">
        <v>29</v>
      </c>
      <c r="F23" t="s">
        <v>66</v>
      </c>
      <c r="G23" s="3">
        <v>40417</v>
      </c>
      <c r="H23">
        <v>880999934</v>
      </c>
      <c r="I23" s="3">
        <v>40437</v>
      </c>
      <c r="J23">
        <v>6313</v>
      </c>
      <c r="K23">
        <v>109.28</v>
      </c>
      <c r="L23">
        <v>35.840000000000003</v>
      </c>
      <c r="M23">
        <f t="shared" si="0"/>
        <v>689884.64</v>
      </c>
      <c r="N23">
        <f t="shared" si="1"/>
        <v>226257.92000000001</v>
      </c>
      <c r="O23">
        <f t="shared" si="2"/>
        <v>463626.72</v>
      </c>
      <c r="P23" s="6">
        <f t="shared" si="3"/>
        <v>0.67203513909224011</v>
      </c>
      <c r="Q23">
        <f t="shared" si="4"/>
        <v>20</v>
      </c>
      <c r="R23">
        <f t="shared" si="5"/>
        <v>2010</v>
      </c>
      <c r="S23" t="str">
        <f t="shared" si="6"/>
        <v>August</v>
      </c>
      <c r="T23">
        <f t="shared" si="7"/>
        <v>8</v>
      </c>
      <c r="U23" t="str">
        <f t="shared" si="8"/>
        <v>Medium Profit</v>
      </c>
    </row>
    <row r="24" spans="1:21" x14ac:dyDescent="0.35">
      <c r="A24" s="5" t="s">
        <v>19</v>
      </c>
      <c r="B24" s="5" t="s">
        <v>82</v>
      </c>
      <c r="C24" t="s">
        <v>83</v>
      </c>
      <c r="D24" t="s">
        <v>84</v>
      </c>
      <c r="E24" t="s">
        <v>29</v>
      </c>
      <c r="F24" t="s">
        <v>41</v>
      </c>
      <c r="G24" s="3">
        <v>40594</v>
      </c>
      <c r="H24">
        <v>127468717</v>
      </c>
      <c r="I24" s="3">
        <v>40611</v>
      </c>
      <c r="J24">
        <v>9681</v>
      </c>
      <c r="K24">
        <v>81.73</v>
      </c>
      <c r="L24">
        <v>56.67</v>
      </c>
      <c r="M24">
        <f t="shared" si="0"/>
        <v>791228.13</v>
      </c>
      <c r="N24">
        <f t="shared" si="1"/>
        <v>548622.27</v>
      </c>
      <c r="O24">
        <f t="shared" si="2"/>
        <v>242605.86</v>
      </c>
      <c r="P24" s="6">
        <f t="shared" si="3"/>
        <v>0.30661935641747212</v>
      </c>
      <c r="Q24">
        <f t="shared" si="4"/>
        <v>17</v>
      </c>
      <c r="R24">
        <f t="shared" si="5"/>
        <v>2011</v>
      </c>
      <c r="S24" t="str">
        <f t="shared" si="6"/>
        <v>February</v>
      </c>
      <c r="T24">
        <f t="shared" si="7"/>
        <v>2</v>
      </c>
      <c r="U24" t="str">
        <f t="shared" si="8"/>
        <v>Medium Profit</v>
      </c>
    </row>
    <row r="25" spans="1:21" x14ac:dyDescent="0.35">
      <c r="A25" s="5" t="s">
        <v>33</v>
      </c>
      <c r="B25" s="5" t="s">
        <v>85</v>
      </c>
      <c r="C25" t="s">
        <v>48</v>
      </c>
      <c r="D25" t="s">
        <v>86</v>
      </c>
      <c r="E25" t="s">
        <v>29</v>
      </c>
      <c r="F25" t="s">
        <v>66</v>
      </c>
      <c r="G25" s="3">
        <v>42350</v>
      </c>
      <c r="H25">
        <v>770478332</v>
      </c>
      <c r="I25" s="3">
        <v>42393</v>
      </c>
      <c r="J25">
        <v>515</v>
      </c>
      <c r="K25">
        <v>109.28</v>
      </c>
      <c r="L25">
        <v>35.840000000000003</v>
      </c>
      <c r="M25">
        <f t="shared" si="0"/>
        <v>56279.199999999997</v>
      </c>
      <c r="N25">
        <f t="shared" si="1"/>
        <v>18457.600000000002</v>
      </c>
      <c r="O25">
        <f t="shared" si="2"/>
        <v>37821.599999999991</v>
      </c>
      <c r="P25" s="6">
        <f t="shared" si="3"/>
        <v>0.67203513909224</v>
      </c>
      <c r="Q25">
        <f t="shared" si="4"/>
        <v>43</v>
      </c>
      <c r="R25">
        <f t="shared" si="5"/>
        <v>2015</v>
      </c>
      <c r="S25" t="str">
        <f t="shared" si="6"/>
        <v>December</v>
      </c>
      <c r="T25">
        <f t="shared" si="7"/>
        <v>12</v>
      </c>
      <c r="U25" t="str">
        <f t="shared" si="8"/>
        <v>Low Profit</v>
      </c>
    </row>
    <row r="26" spans="1:21" x14ac:dyDescent="0.35">
      <c r="A26" s="5" t="s">
        <v>50</v>
      </c>
      <c r="B26" s="5" t="s">
        <v>87</v>
      </c>
      <c r="C26" t="s">
        <v>35</v>
      </c>
      <c r="D26" t="s">
        <v>88</v>
      </c>
      <c r="E26" t="s">
        <v>29</v>
      </c>
      <c r="F26" t="s">
        <v>41</v>
      </c>
      <c r="G26" s="3">
        <v>41210</v>
      </c>
      <c r="H26">
        <v>430390107</v>
      </c>
      <c r="I26" s="3">
        <v>41226</v>
      </c>
      <c r="J26">
        <v>852</v>
      </c>
      <c r="K26">
        <v>205.7</v>
      </c>
      <c r="L26">
        <v>117.11</v>
      </c>
      <c r="M26">
        <f t="shared" si="0"/>
        <v>175256.4</v>
      </c>
      <c r="N26">
        <f t="shared" si="1"/>
        <v>99777.72</v>
      </c>
      <c r="O26">
        <f t="shared" si="2"/>
        <v>75478.679999999993</v>
      </c>
      <c r="P26" s="6">
        <f t="shared" si="3"/>
        <v>0.43067574137092851</v>
      </c>
      <c r="Q26">
        <f t="shared" si="4"/>
        <v>16</v>
      </c>
      <c r="R26">
        <f t="shared" si="5"/>
        <v>2012</v>
      </c>
      <c r="S26" t="str">
        <f t="shared" si="6"/>
        <v>October</v>
      </c>
      <c r="T26">
        <f t="shared" si="7"/>
        <v>10</v>
      </c>
      <c r="U26" t="str">
        <f t="shared" si="8"/>
        <v>Low Profit</v>
      </c>
    </row>
    <row r="27" spans="1:21" x14ac:dyDescent="0.35">
      <c r="A27" s="5" t="s">
        <v>50</v>
      </c>
      <c r="B27" s="5" t="s">
        <v>87</v>
      </c>
      <c r="C27" t="s">
        <v>72</v>
      </c>
      <c r="D27" t="s">
        <v>89</v>
      </c>
      <c r="E27" t="s">
        <v>29</v>
      </c>
      <c r="F27" t="s">
        <v>24</v>
      </c>
      <c r="G27" s="3">
        <v>42765</v>
      </c>
      <c r="H27">
        <v>397877871</v>
      </c>
      <c r="I27" s="3">
        <v>42814</v>
      </c>
      <c r="J27">
        <v>9759</v>
      </c>
      <c r="K27">
        <v>47.45</v>
      </c>
      <c r="L27">
        <v>31.79</v>
      </c>
      <c r="M27">
        <f t="shared" si="0"/>
        <v>463064.55000000005</v>
      </c>
      <c r="N27">
        <f t="shared" si="1"/>
        <v>310238.61</v>
      </c>
      <c r="O27">
        <f t="shared" si="2"/>
        <v>152825.94000000006</v>
      </c>
      <c r="P27" s="6">
        <f t="shared" si="3"/>
        <v>0.33003161222339317</v>
      </c>
      <c r="Q27">
        <f t="shared" si="4"/>
        <v>49</v>
      </c>
      <c r="R27">
        <f t="shared" si="5"/>
        <v>2017</v>
      </c>
      <c r="S27" t="str">
        <f t="shared" si="6"/>
        <v>January</v>
      </c>
      <c r="T27">
        <f t="shared" si="7"/>
        <v>1</v>
      </c>
      <c r="U27" t="str">
        <f t="shared" si="8"/>
        <v>Medium Profit</v>
      </c>
    </row>
    <row r="28" spans="1:21" x14ac:dyDescent="0.35">
      <c r="A28" s="5" t="s">
        <v>37</v>
      </c>
      <c r="B28" s="5" t="s">
        <v>76</v>
      </c>
      <c r="C28" t="s">
        <v>72</v>
      </c>
      <c r="D28" t="s">
        <v>90</v>
      </c>
      <c r="E28" t="s">
        <v>23</v>
      </c>
      <c r="F28" t="s">
        <v>24</v>
      </c>
      <c r="G28" s="3">
        <v>41934</v>
      </c>
      <c r="H28">
        <v>683927953</v>
      </c>
      <c r="I28" s="3">
        <v>41947</v>
      </c>
      <c r="J28">
        <v>8334</v>
      </c>
      <c r="K28">
        <v>47.45</v>
      </c>
      <c r="L28">
        <v>31.79</v>
      </c>
      <c r="M28">
        <f t="shared" si="0"/>
        <v>395448.30000000005</v>
      </c>
      <c r="N28">
        <f t="shared" si="1"/>
        <v>264937.86</v>
      </c>
      <c r="O28">
        <f t="shared" si="2"/>
        <v>130510.44000000006</v>
      </c>
      <c r="P28" s="6">
        <f t="shared" si="3"/>
        <v>0.33003161222339317</v>
      </c>
      <c r="Q28">
        <f t="shared" si="4"/>
        <v>13</v>
      </c>
      <c r="R28">
        <f t="shared" si="5"/>
        <v>2014</v>
      </c>
      <c r="S28" t="str">
        <f t="shared" si="6"/>
        <v>October</v>
      </c>
      <c r="T28">
        <f t="shared" si="7"/>
        <v>10</v>
      </c>
      <c r="U28" t="str">
        <f t="shared" si="8"/>
        <v>Medium Profit</v>
      </c>
    </row>
    <row r="29" spans="1:21" x14ac:dyDescent="0.35">
      <c r="A29" s="5" t="s">
        <v>25</v>
      </c>
      <c r="B29" s="5" t="s">
        <v>71</v>
      </c>
      <c r="C29" t="s">
        <v>39</v>
      </c>
      <c r="D29" t="s">
        <v>91</v>
      </c>
      <c r="E29" t="s">
        <v>23</v>
      </c>
      <c r="F29" t="s">
        <v>24</v>
      </c>
      <c r="G29" s="3">
        <v>40939</v>
      </c>
      <c r="H29">
        <v>469839179</v>
      </c>
      <c r="I29" s="3">
        <v>40961</v>
      </c>
      <c r="J29">
        <v>4709</v>
      </c>
      <c r="K29">
        <v>9.33</v>
      </c>
      <c r="L29">
        <v>6.92</v>
      </c>
      <c r="M29">
        <f t="shared" si="0"/>
        <v>43934.97</v>
      </c>
      <c r="N29">
        <f t="shared" si="1"/>
        <v>32586.28</v>
      </c>
      <c r="O29">
        <f t="shared" si="2"/>
        <v>11348.690000000002</v>
      </c>
      <c r="P29" s="6">
        <f t="shared" si="3"/>
        <v>0.25830653804930337</v>
      </c>
      <c r="Q29">
        <f t="shared" si="4"/>
        <v>22</v>
      </c>
      <c r="R29">
        <f t="shared" si="5"/>
        <v>2012</v>
      </c>
      <c r="S29" t="str">
        <f t="shared" si="6"/>
        <v>January</v>
      </c>
      <c r="T29">
        <f t="shared" si="7"/>
        <v>1</v>
      </c>
      <c r="U29" t="str">
        <f t="shared" si="8"/>
        <v>Low Profit</v>
      </c>
    </row>
    <row r="30" spans="1:21" x14ac:dyDescent="0.35">
      <c r="A30" s="5" t="s">
        <v>37</v>
      </c>
      <c r="B30" s="5" t="s">
        <v>38</v>
      </c>
      <c r="C30" t="s">
        <v>92</v>
      </c>
      <c r="D30" t="s">
        <v>93</v>
      </c>
      <c r="E30" t="s">
        <v>23</v>
      </c>
      <c r="F30" t="s">
        <v>41</v>
      </c>
      <c r="G30" s="3">
        <v>42389</v>
      </c>
      <c r="H30">
        <v>357222878</v>
      </c>
      <c r="I30" s="3">
        <v>42438</v>
      </c>
      <c r="J30">
        <v>9043</v>
      </c>
      <c r="K30">
        <v>421.89</v>
      </c>
      <c r="L30">
        <v>364.69</v>
      </c>
      <c r="M30">
        <f t="shared" si="0"/>
        <v>3815151.27</v>
      </c>
      <c r="N30">
        <f t="shared" si="1"/>
        <v>3297891.67</v>
      </c>
      <c r="O30">
        <f t="shared" si="2"/>
        <v>517259.60000000009</v>
      </c>
      <c r="P30" s="6">
        <f t="shared" si="3"/>
        <v>0.13558036455000122</v>
      </c>
      <c r="Q30">
        <f t="shared" si="4"/>
        <v>49</v>
      </c>
      <c r="R30">
        <f t="shared" si="5"/>
        <v>2016</v>
      </c>
      <c r="S30" t="str">
        <f t="shared" si="6"/>
        <v>January</v>
      </c>
      <c r="T30">
        <f t="shared" si="7"/>
        <v>1</v>
      </c>
      <c r="U30" t="str">
        <f t="shared" si="8"/>
        <v>High Profit</v>
      </c>
    </row>
    <row r="31" spans="1:21" x14ac:dyDescent="0.35">
      <c r="A31" s="5" t="s">
        <v>37</v>
      </c>
      <c r="B31" s="5" t="s">
        <v>94</v>
      </c>
      <c r="C31" t="s">
        <v>83</v>
      </c>
      <c r="D31" t="s">
        <v>95</v>
      </c>
      <c r="E31" t="s">
        <v>29</v>
      </c>
      <c r="F31" t="s">
        <v>32</v>
      </c>
      <c r="G31" s="3">
        <v>42370</v>
      </c>
      <c r="H31">
        <v>118002879</v>
      </c>
      <c r="I31" s="3">
        <v>42376</v>
      </c>
      <c r="J31">
        <v>8529</v>
      </c>
      <c r="K31">
        <v>81.73</v>
      </c>
      <c r="L31">
        <v>56.67</v>
      </c>
      <c r="M31">
        <f t="shared" si="0"/>
        <v>697075.17</v>
      </c>
      <c r="N31">
        <f t="shared" si="1"/>
        <v>483338.43</v>
      </c>
      <c r="O31">
        <f t="shared" si="2"/>
        <v>213736.74000000005</v>
      </c>
      <c r="P31" s="6">
        <f t="shared" si="3"/>
        <v>0.30661935641747223</v>
      </c>
      <c r="Q31">
        <f t="shared" si="4"/>
        <v>6</v>
      </c>
      <c r="R31">
        <f t="shared" si="5"/>
        <v>2016</v>
      </c>
      <c r="S31" t="str">
        <f t="shared" si="6"/>
        <v>January</v>
      </c>
      <c r="T31">
        <f t="shared" si="7"/>
        <v>1</v>
      </c>
      <c r="U31" t="str">
        <f t="shared" si="8"/>
        <v>Medium Profit</v>
      </c>
    </row>
    <row r="32" spans="1:21" x14ac:dyDescent="0.35">
      <c r="A32" s="5" t="s">
        <v>19</v>
      </c>
      <c r="B32" s="5" t="s">
        <v>96</v>
      </c>
      <c r="C32" t="s">
        <v>72</v>
      </c>
      <c r="D32" t="s">
        <v>97</v>
      </c>
      <c r="E32" t="s">
        <v>23</v>
      </c>
      <c r="F32" t="s">
        <v>32</v>
      </c>
      <c r="G32" s="3">
        <v>42887</v>
      </c>
      <c r="H32">
        <v>944415509</v>
      </c>
      <c r="I32" s="3">
        <v>42909</v>
      </c>
      <c r="J32">
        <v>2391</v>
      </c>
      <c r="K32">
        <v>47.45</v>
      </c>
      <c r="L32">
        <v>31.79</v>
      </c>
      <c r="M32">
        <f t="shared" si="0"/>
        <v>113452.95000000001</v>
      </c>
      <c r="N32">
        <f t="shared" si="1"/>
        <v>76009.89</v>
      </c>
      <c r="O32">
        <f t="shared" si="2"/>
        <v>37443.060000000012</v>
      </c>
      <c r="P32" s="6">
        <f t="shared" si="3"/>
        <v>0.33003161222339311</v>
      </c>
      <c r="Q32">
        <f t="shared" si="4"/>
        <v>22</v>
      </c>
      <c r="R32">
        <f t="shared" si="5"/>
        <v>2017</v>
      </c>
      <c r="S32" t="str">
        <f t="shared" si="6"/>
        <v>June</v>
      </c>
      <c r="T32">
        <f t="shared" si="7"/>
        <v>6</v>
      </c>
      <c r="U32" t="str">
        <f t="shared" si="8"/>
        <v>Low Profit</v>
      </c>
    </row>
    <row r="33" spans="1:21" x14ac:dyDescent="0.35">
      <c r="A33" s="5" t="s">
        <v>50</v>
      </c>
      <c r="B33" s="5" t="s">
        <v>98</v>
      </c>
      <c r="C33" t="s">
        <v>69</v>
      </c>
      <c r="D33" t="s">
        <v>99</v>
      </c>
      <c r="E33" t="s">
        <v>29</v>
      </c>
      <c r="F33" t="s">
        <v>41</v>
      </c>
      <c r="G33" s="3">
        <v>42185</v>
      </c>
      <c r="H33">
        <v>499009597</v>
      </c>
      <c r="I33" s="3">
        <v>42194</v>
      </c>
      <c r="J33">
        <v>6884</v>
      </c>
      <c r="K33">
        <v>651.21</v>
      </c>
      <c r="L33">
        <v>524.96</v>
      </c>
      <c r="M33">
        <f t="shared" si="0"/>
        <v>4482929.6400000006</v>
      </c>
      <c r="N33">
        <f t="shared" si="1"/>
        <v>3613824.64</v>
      </c>
      <c r="O33">
        <f t="shared" si="2"/>
        <v>869105.00000000047</v>
      </c>
      <c r="P33" s="6">
        <f t="shared" si="3"/>
        <v>0.19386987300563574</v>
      </c>
      <c r="Q33">
        <f t="shared" si="4"/>
        <v>9</v>
      </c>
      <c r="R33">
        <f t="shared" si="5"/>
        <v>2015</v>
      </c>
      <c r="S33" t="str">
        <f t="shared" si="6"/>
        <v>June</v>
      </c>
      <c r="T33">
        <f t="shared" si="7"/>
        <v>6</v>
      </c>
      <c r="U33" t="str">
        <f t="shared" si="8"/>
        <v>High Profit</v>
      </c>
    </row>
    <row r="34" spans="1:21" x14ac:dyDescent="0.35">
      <c r="A34" s="5" t="s">
        <v>37</v>
      </c>
      <c r="B34" s="5" t="s">
        <v>100</v>
      </c>
      <c r="C34" t="s">
        <v>39</v>
      </c>
      <c r="D34" t="s">
        <v>101</v>
      </c>
      <c r="E34" t="s">
        <v>29</v>
      </c>
      <c r="F34" t="s">
        <v>66</v>
      </c>
      <c r="G34" s="3">
        <v>41667</v>
      </c>
      <c r="H34">
        <v>564646470</v>
      </c>
      <c r="I34" s="3">
        <v>41714</v>
      </c>
      <c r="J34">
        <v>293</v>
      </c>
      <c r="K34">
        <v>9.33</v>
      </c>
      <c r="L34">
        <v>6.92</v>
      </c>
      <c r="M34">
        <f t="shared" si="0"/>
        <v>2733.69</v>
      </c>
      <c r="N34">
        <f t="shared" si="1"/>
        <v>2027.56</v>
      </c>
      <c r="O34">
        <f t="shared" si="2"/>
        <v>706.13000000000011</v>
      </c>
      <c r="P34" s="6">
        <f t="shared" si="3"/>
        <v>0.25830653804930337</v>
      </c>
      <c r="Q34">
        <f t="shared" si="4"/>
        <v>47</v>
      </c>
      <c r="R34">
        <f t="shared" si="5"/>
        <v>2014</v>
      </c>
      <c r="S34" t="str">
        <f t="shared" si="6"/>
        <v>January</v>
      </c>
      <c r="T34">
        <f t="shared" si="7"/>
        <v>1</v>
      </c>
      <c r="U34" t="str">
        <f t="shared" si="8"/>
        <v>Low Profit</v>
      </c>
    </row>
    <row r="35" spans="1:21" x14ac:dyDescent="0.35">
      <c r="A35" s="5" t="s">
        <v>42</v>
      </c>
      <c r="B35" s="5" t="s">
        <v>102</v>
      </c>
      <c r="C35" t="s">
        <v>30</v>
      </c>
      <c r="D35" t="s">
        <v>103</v>
      </c>
      <c r="E35" t="s">
        <v>23</v>
      </c>
      <c r="F35" t="s">
        <v>24</v>
      </c>
      <c r="G35" s="3">
        <v>41737</v>
      </c>
      <c r="H35">
        <v>294499957</v>
      </c>
      <c r="I35" s="3">
        <v>41737</v>
      </c>
      <c r="J35">
        <v>7937</v>
      </c>
      <c r="K35">
        <v>255.28</v>
      </c>
      <c r="L35">
        <v>159.41999999999999</v>
      </c>
      <c r="M35">
        <f t="shared" si="0"/>
        <v>2026157.36</v>
      </c>
      <c r="N35">
        <f t="shared" si="1"/>
        <v>1265316.5399999998</v>
      </c>
      <c r="O35">
        <f t="shared" si="2"/>
        <v>760840.8200000003</v>
      </c>
      <c r="P35" s="6">
        <f t="shared" si="3"/>
        <v>0.37550924475086195</v>
      </c>
      <c r="Q35">
        <f t="shared" si="4"/>
        <v>0</v>
      </c>
      <c r="R35">
        <f t="shared" si="5"/>
        <v>2014</v>
      </c>
      <c r="S35" t="str">
        <f t="shared" si="6"/>
        <v>April</v>
      </c>
      <c r="T35">
        <f t="shared" si="7"/>
        <v>4</v>
      </c>
      <c r="U35" t="str">
        <f t="shared" si="8"/>
        <v>High Profit</v>
      </c>
    </row>
    <row r="36" spans="1:21" x14ac:dyDescent="0.35">
      <c r="A36" s="5" t="s">
        <v>50</v>
      </c>
      <c r="B36" s="5" t="s">
        <v>51</v>
      </c>
      <c r="C36" t="s">
        <v>72</v>
      </c>
      <c r="D36" t="s">
        <v>104</v>
      </c>
      <c r="E36" t="s">
        <v>23</v>
      </c>
      <c r="F36" t="s">
        <v>66</v>
      </c>
      <c r="G36" s="3">
        <v>40425</v>
      </c>
      <c r="H36">
        <v>262056386</v>
      </c>
      <c r="I36" s="3">
        <v>40475</v>
      </c>
      <c r="J36">
        <v>7163</v>
      </c>
      <c r="K36">
        <v>47.45</v>
      </c>
      <c r="L36">
        <v>31.79</v>
      </c>
      <c r="M36">
        <f t="shared" si="0"/>
        <v>339884.35000000003</v>
      </c>
      <c r="N36">
        <f t="shared" si="1"/>
        <v>227711.77</v>
      </c>
      <c r="O36">
        <f t="shared" si="2"/>
        <v>112172.58000000005</v>
      </c>
      <c r="P36" s="6">
        <f t="shared" si="3"/>
        <v>0.33003161222339317</v>
      </c>
      <c r="Q36">
        <f t="shared" si="4"/>
        <v>50</v>
      </c>
      <c r="R36">
        <f t="shared" si="5"/>
        <v>2010</v>
      </c>
      <c r="S36" t="str">
        <f t="shared" si="6"/>
        <v>September</v>
      </c>
      <c r="T36">
        <f t="shared" si="7"/>
        <v>9</v>
      </c>
      <c r="U36" t="str">
        <f t="shared" si="8"/>
        <v>Medium Profit</v>
      </c>
    </row>
    <row r="37" spans="1:21" x14ac:dyDescent="0.35">
      <c r="A37" s="5" t="s">
        <v>37</v>
      </c>
      <c r="B37" s="5" t="s">
        <v>105</v>
      </c>
      <c r="C37" t="s">
        <v>69</v>
      </c>
      <c r="D37" t="s">
        <v>106</v>
      </c>
      <c r="E37" t="s">
        <v>29</v>
      </c>
      <c r="F37" t="s">
        <v>24</v>
      </c>
      <c r="G37" s="3">
        <v>40300</v>
      </c>
      <c r="H37">
        <v>211114585</v>
      </c>
      <c r="I37" s="3">
        <v>40312</v>
      </c>
      <c r="J37">
        <v>2352</v>
      </c>
      <c r="K37">
        <v>651.21</v>
      </c>
      <c r="L37">
        <v>524.96</v>
      </c>
      <c r="M37">
        <f t="shared" si="0"/>
        <v>1531645.9200000002</v>
      </c>
      <c r="N37">
        <f t="shared" si="1"/>
        <v>1234705.9200000002</v>
      </c>
      <c r="O37">
        <f t="shared" si="2"/>
        <v>296940</v>
      </c>
      <c r="P37" s="6">
        <f t="shared" si="3"/>
        <v>0.19386987300563563</v>
      </c>
      <c r="Q37">
        <f t="shared" si="4"/>
        <v>12</v>
      </c>
      <c r="R37">
        <f t="shared" si="5"/>
        <v>2010</v>
      </c>
      <c r="S37" t="str">
        <f t="shared" si="6"/>
        <v>May</v>
      </c>
      <c r="T37">
        <f t="shared" si="7"/>
        <v>5</v>
      </c>
      <c r="U37" t="str">
        <f t="shared" si="8"/>
        <v>Medium Profit</v>
      </c>
    </row>
    <row r="38" spans="1:21" x14ac:dyDescent="0.35">
      <c r="A38" s="5" t="s">
        <v>37</v>
      </c>
      <c r="B38" s="5" t="s">
        <v>107</v>
      </c>
      <c r="C38" t="s">
        <v>69</v>
      </c>
      <c r="D38" t="s">
        <v>108</v>
      </c>
      <c r="E38" t="s">
        <v>23</v>
      </c>
      <c r="F38" t="s">
        <v>41</v>
      </c>
      <c r="G38" s="3">
        <v>41550</v>
      </c>
      <c r="H38">
        <v>405785882</v>
      </c>
      <c r="I38" s="3">
        <v>41569</v>
      </c>
      <c r="J38">
        <v>9915</v>
      </c>
      <c r="K38">
        <v>651.21</v>
      </c>
      <c r="L38">
        <v>524.96</v>
      </c>
      <c r="M38">
        <f t="shared" si="0"/>
        <v>6456747.1500000004</v>
      </c>
      <c r="N38">
        <f t="shared" si="1"/>
        <v>5204978.4000000004</v>
      </c>
      <c r="O38">
        <f t="shared" si="2"/>
        <v>1251768.75</v>
      </c>
      <c r="P38" s="6">
        <f t="shared" si="3"/>
        <v>0.19386987300563566</v>
      </c>
      <c r="Q38">
        <f t="shared" si="4"/>
        <v>19</v>
      </c>
      <c r="R38">
        <f t="shared" si="5"/>
        <v>2013</v>
      </c>
      <c r="S38" t="str">
        <f t="shared" si="6"/>
        <v>October</v>
      </c>
      <c r="T38">
        <f t="shared" si="7"/>
        <v>10</v>
      </c>
      <c r="U38" t="str">
        <f t="shared" si="8"/>
        <v>High Profit</v>
      </c>
    </row>
    <row r="39" spans="1:21" x14ac:dyDescent="0.35">
      <c r="A39" s="5" t="s">
        <v>50</v>
      </c>
      <c r="B39" s="5" t="s">
        <v>109</v>
      </c>
      <c r="C39" t="s">
        <v>27</v>
      </c>
      <c r="D39" t="s">
        <v>110</v>
      </c>
      <c r="E39" t="s">
        <v>23</v>
      </c>
      <c r="F39" t="s">
        <v>24</v>
      </c>
      <c r="G39" s="3">
        <v>40608</v>
      </c>
      <c r="H39">
        <v>280494105</v>
      </c>
      <c r="I39" s="3">
        <v>40647</v>
      </c>
      <c r="J39">
        <v>3294</v>
      </c>
      <c r="K39">
        <v>154.06</v>
      </c>
      <c r="L39">
        <v>90.93</v>
      </c>
      <c r="M39">
        <f t="shared" si="0"/>
        <v>507473.64</v>
      </c>
      <c r="N39">
        <f t="shared" si="1"/>
        <v>299523.42000000004</v>
      </c>
      <c r="O39">
        <f t="shared" si="2"/>
        <v>207950.21999999997</v>
      </c>
      <c r="P39" s="6">
        <f t="shared" si="3"/>
        <v>0.40977541217707381</v>
      </c>
      <c r="Q39">
        <f t="shared" si="4"/>
        <v>39</v>
      </c>
      <c r="R39">
        <f t="shared" si="5"/>
        <v>2011</v>
      </c>
      <c r="S39" t="str">
        <f t="shared" si="6"/>
        <v>March</v>
      </c>
      <c r="T39">
        <f t="shared" si="7"/>
        <v>3</v>
      </c>
      <c r="U39" t="str">
        <f t="shared" si="8"/>
        <v>Medium Profit</v>
      </c>
    </row>
    <row r="40" spans="1:21" x14ac:dyDescent="0.35">
      <c r="A40" s="5" t="s">
        <v>42</v>
      </c>
      <c r="B40" s="5" t="s">
        <v>111</v>
      </c>
      <c r="C40" t="s">
        <v>30</v>
      </c>
      <c r="D40" t="s">
        <v>112</v>
      </c>
      <c r="E40" t="s">
        <v>29</v>
      </c>
      <c r="F40" t="s">
        <v>66</v>
      </c>
      <c r="G40" s="3">
        <v>42589</v>
      </c>
      <c r="H40">
        <v>689975583</v>
      </c>
      <c r="I40" s="3">
        <v>42594</v>
      </c>
      <c r="J40">
        <v>7963</v>
      </c>
      <c r="K40">
        <v>255.28</v>
      </c>
      <c r="L40">
        <v>159.41999999999999</v>
      </c>
      <c r="M40">
        <f t="shared" si="0"/>
        <v>2032794.64</v>
      </c>
      <c r="N40">
        <f t="shared" si="1"/>
        <v>1269461.46</v>
      </c>
      <c r="O40">
        <f t="shared" si="2"/>
        <v>763333.17999999993</v>
      </c>
      <c r="P40" s="6">
        <f t="shared" si="3"/>
        <v>0.37550924475086178</v>
      </c>
      <c r="Q40">
        <f t="shared" si="4"/>
        <v>5</v>
      </c>
      <c r="R40">
        <f t="shared" si="5"/>
        <v>2016</v>
      </c>
      <c r="S40" t="str">
        <f t="shared" si="6"/>
        <v>August</v>
      </c>
      <c r="T40">
        <f t="shared" si="7"/>
        <v>8</v>
      </c>
      <c r="U40" t="str">
        <f t="shared" si="8"/>
        <v>High Profit</v>
      </c>
    </row>
    <row r="41" spans="1:21" x14ac:dyDescent="0.35">
      <c r="A41" s="5" t="s">
        <v>42</v>
      </c>
      <c r="B41" s="5" t="s">
        <v>113</v>
      </c>
      <c r="C41" t="s">
        <v>69</v>
      </c>
      <c r="D41" t="s">
        <v>114</v>
      </c>
      <c r="E41" t="s">
        <v>29</v>
      </c>
      <c r="F41" t="s">
        <v>66</v>
      </c>
      <c r="G41" s="3">
        <v>40554</v>
      </c>
      <c r="H41">
        <v>759279143</v>
      </c>
      <c r="I41" s="3">
        <v>40592</v>
      </c>
      <c r="J41">
        <v>6426</v>
      </c>
      <c r="K41">
        <v>651.21</v>
      </c>
      <c r="L41">
        <v>524.96</v>
      </c>
      <c r="M41">
        <f t="shared" si="0"/>
        <v>4184675.4600000004</v>
      </c>
      <c r="N41">
        <f t="shared" si="1"/>
        <v>3373392.9600000004</v>
      </c>
      <c r="O41">
        <f t="shared" si="2"/>
        <v>811282.5</v>
      </c>
      <c r="P41" s="6">
        <f t="shared" si="3"/>
        <v>0.19386987300563566</v>
      </c>
      <c r="Q41">
        <f t="shared" si="4"/>
        <v>38</v>
      </c>
      <c r="R41">
        <f t="shared" si="5"/>
        <v>2011</v>
      </c>
      <c r="S41" t="str">
        <f t="shared" si="6"/>
        <v>January</v>
      </c>
      <c r="T41">
        <f t="shared" si="7"/>
        <v>1</v>
      </c>
      <c r="U41" t="str">
        <f t="shared" si="8"/>
        <v>High Profit</v>
      </c>
    </row>
    <row r="42" spans="1:21" x14ac:dyDescent="0.35">
      <c r="A42" s="5" t="s">
        <v>37</v>
      </c>
      <c r="B42" s="5" t="s">
        <v>115</v>
      </c>
      <c r="C42" t="s">
        <v>69</v>
      </c>
      <c r="D42" t="s">
        <v>116</v>
      </c>
      <c r="E42" t="s">
        <v>23</v>
      </c>
      <c r="F42" t="s">
        <v>32</v>
      </c>
      <c r="G42" s="3">
        <v>41780</v>
      </c>
      <c r="H42">
        <v>133766114</v>
      </c>
      <c r="I42" s="3">
        <v>41802</v>
      </c>
      <c r="J42">
        <v>3221</v>
      </c>
      <c r="K42">
        <v>651.21</v>
      </c>
      <c r="L42">
        <v>524.96</v>
      </c>
      <c r="M42">
        <f t="shared" si="0"/>
        <v>2097547.41</v>
      </c>
      <c r="N42">
        <f t="shared" si="1"/>
        <v>1690896.1600000001</v>
      </c>
      <c r="O42">
        <f t="shared" si="2"/>
        <v>406651.25</v>
      </c>
      <c r="P42" s="6">
        <f t="shared" si="3"/>
        <v>0.19386987300563566</v>
      </c>
      <c r="Q42">
        <f t="shared" si="4"/>
        <v>22</v>
      </c>
      <c r="R42">
        <f t="shared" si="5"/>
        <v>2014</v>
      </c>
      <c r="S42" t="str">
        <f t="shared" si="6"/>
        <v>May</v>
      </c>
      <c r="T42">
        <f t="shared" si="7"/>
        <v>5</v>
      </c>
      <c r="U42" t="str">
        <f t="shared" si="8"/>
        <v>Medium Profit</v>
      </c>
    </row>
    <row r="43" spans="1:21" x14ac:dyDescent="0.35">
      <c r="A43" s="5" t="s">
        <v>33</v>
      </c>
      <c r="B43" s="5" t="s">
        <v>85</v>
      </c>
      <c r="C43" t="s">
        <v>72</v>
      </c>
      <c r="D43" t="s">
        <v>117</v>
      </c>
      <c r="E43" t="s">
        <v>29</v>
      </c>
      <c r="F43" t="s">
        <v>24</v>
      </c>
      <c r="G43" s="3">
        <v>41489</v>
      </c>
      <c r="H43">
        <v>329110324</v>
      </c>
      <c r="I43" s="3">
        <v>41519</v>
      </c>
      <c r="J43">
        <v>9913</v>
      </c>
      <c r="K43">
        <v>47.45</v>
      </c>
      <c r="L43">
        <v>31.79</v>
      </c>
      <c r="M43">
        <f t="shared" si="0"/>
        <v>470371.85000000003</v>
      </c>
      <c r="N43">
        <f t="shared" si="1"/>
        <v>315134.27</v>
      </c>
      <c r="O43">
        <f t="shared" si="2"/>
        <v>155237.58000000002</v>
      </c>
      <c r="P43" s="6">
        <f t="shared" si="3"/>
        <v>0.33003161222339306</v>
      </c>
      <c r="Q43">
        <f t="shared" si="4"/>
        <v>30</v>
      </c>
      <c r="R43">
        <f t="shared" si="5"/>
        <v>2013</v>
      </c>
      <c r="S43" t="str">
        <f t="shared" si="6"/>
        <v>August</v>
      </c>
      <c r="T43">
        <f t="shared" si="7"/>
        <v>8</v>
      </c>
      <c r="U43" t="str">
        <f t="shared" si="8"/>
        <v>Medium Profit</v>
      </c>
    </row>
    <row r="44" spans="1:21" x14ac:dyDescent="0.35">
      <c r="A44" s="5" t="s">
        <v>19</v>
      </c>
      <c r="B44" s="5" t="s">
        <v>118</v>
      </c>
      <c r="C44" t="s">
        <v>92</v>
      </c>
      <c r="D44" t="s">
        <v>119</v>
      </c>
      <c r="E44" t="s">
        <v>29</v>
      </c>
      <c r="F44" t="s">
        <v>66</v>
      </c>
      <c r="G44" s="3">
        <v>40821</v>
      </c>
      <c r="H44">
        <v>681298100</v>
      </c>
      <c r="I44" s="3">
        <v>40867</v>
      </c>
      <c r="J44">
        <v>103</v>
      </c>
      <c r="K44">
        <v>421.89</v>
      </c>
      <c r="L44">
        <v>364.69</v>
      </c>
      <c r="M44">
        <f t="shared" si="0"/>
        <v>43454.67</v>
      </c>
      <c r="N44">
        <f t="shared" si="1"/>
        <v>37563.07</v>
      </c>
      <c r="O44">
        <f t="shared" si="2"/>
        <v>5891.5999999999985</v>
      </c>
      <c r="P44" s="6">
        <f t="shared" si="3"/>
        <v>0.13558036455000116</v>
      </c>
      <c r="Q44">
        <f t="shared" si="4"/>
        <v>46</v>
      </c>
      <c r="R44">
        <f t="shared" si="5"/>
        <v>2011</v>
      </c>
      <c r="S44" t="str">
        <f t="shared" si="6"/>
        <v>October</v>
      </c>
      <c r="T44">
        <f t="shared" si="7"/>
        <v>10</v>
      </c>
      <c r="U44" t="str">
        <f t="shared" si="8"/>
        <v>Low Profit</v>
      </c>
    </row>
    <row r="45" spans="1:21" x14ac:dyDescent="0.35">
      <c r="A45" s="5" t="s">
        <v>37</v>
      </c>
      <c r="B45" s="5" t="s">
        <v>120</v>
      </c>
      <c r="C45" t="s">
        <v>58</v>
      </c>
      <c r="D45" t="s">
        <v>121</v>
      </c>
      <c r="E45" t="s">
        <v>23</v>
      </c>
      <c r="F45" t="s">
        <v>66</v>
      </c>
      <c r="G45" s="3">
        <v>42689</v>
      </c>
      <c r="H45">
        <v>596628272</v>
      </c>
      <c r="I45" s="3">
        <v>42734</v>
      </c>
      <c r="J45">
        <v>4419</v>
      </c>
      <c r="K45">
        <v>152.58000000000001</v>
      </c>
      <c r="L45">
        <v>97.44</v>
      </c>
      <c r="M45">
        <f t="shared" si="0"/>
        <v>674251.02</v>
      </c>
      <c r="N45">
        <f t="shared" si="1"/>
        <v>430587.36</v>
      </c>
      <c r="O45">
        <f t="shared" si="2"/>
        <v>243663.66000000003</v>
      </c>
      <c r="P45" s="6">
        <f t="shared" si="3"/>
        <v>0.36138419189933152</v>
      </c>
      <c r="Q45">
        <f t="shared" si="4"/>
        <v>45</v>
      </c>
      <c r="R45">
        <f t="shared" si="5"/>
        <v>2016</v>
      </c>
      <c r="S45" t="str">
        <f t="shared" si="6"/>
        <v>November</v>
      </c>
      <c r="T45">
        <f t="shared" si="7"/>
        <v>11</v>
      </c>
      <c r="U45" t="str">
        <f t="shared" si="8"/>
        <v>Medium Profit</v>
      </c>
    </row>
    <row r="46" spans="1:21" x14ac:dyDescent="0.35">
      <c r="A46" s="5" t="s">
        <v>37</v>
      </c>
      <c r="B46" s="5" t="s">
        <v>105</v>
      </c>
      <c r="C46" t="s">
        <v>69</v>
      </c>
      <c r="D46" t="s">
        <v>122</v>
      </c>
      <c r="E46" t="s">
        <v>23</v>
      </c>
      <c r="F46" t="s">
        <v>66</v>
      </c>
      <c r="G46" s="3">
        <v>42097</v>
      </c>
      <c r="H46">
        <v>901712167</v>
      </c>
      <c r="I46" s="3">
        <v>42111</v>
      </c>
      <c r="J46">
        <v>5523</v>
      </c>
      <c r="K46">
        <v>651.21</v>
      </c>
      <c r="L46">
        <v>524.96</v>
      </c>
      <c r="M46">
        <f t="shared" si="0"/>
        <v>3596632.83</v>
      </c>
      <c r="N46">
        <f t="shared" si="1"/>
        <v>2899354.08</v>
      </c>
      <c r="O46">
        <f t="shared" si="2"/>
        <v>697278.75</v>
      </c>
      <c r="P46" s="6">
        <f t="shared" si="3"/>
        <v>0.19386987300563566</v>
      </c>
      <c r="Q46">
        <f t="shared" si="4"/>
        <v>14</v>
      </c>
      <c r="R46">
        <f t="shared" si="5"/>
        <v>2015</v>
      </c>
      <c r="S46" t="str">
        <f t="shared" si="6"/>
        <v>April</v>
      </c>
      <c r="T46">
        <f t="shared" si="7"/>
        <v>4</v>
      </c>
      <c r="U46" t="str">
        <f t="shared" si="8"/>
        <v>High Profit</v>
      </c>
    </row>
    <row r="47" spans="1:21" x14ac:dyDescent="0.35">
      <c r="A47" s="5" t="s">
        <v>33</v>
      </c>
      <c r="B47" s="5" t="s">
        <v>123</v>
      </c>
      <c r="C47" t="s">
        <v>72</v>
      </c>
      <c r="D47" t="s">
        <v>124</v>
      </c>
      <c r="E47" t="s">
        <v>29</v>
      </c>
      <c r="F47" t="s">
        <v>24</v>
      </c>
      <c r="G47" s="3">
        <v>41355</v>
      </c>
      <c r="H47">
        <v>693473613</v>
      </c>
      <c r="I47" s="3">
        <v>41385</v>
      </c>
      <c r="J47">
        <v>3107</v>
      </c>
      <c r="K47">
        <v>47.45</v>
      </c>
      <c r="L47">
        <v>31.79</v>
      </c>
      <c r="M47">
        <f t="shared" si="0"/>
        <v>147427.15000000002</v>
      </c>
      <c r="N47">
        <f t="shared" si="1"/>
        <v>98771.53</v>
      </c>
      <c r="O47">
        <f t="shared" si="2"/>
        <v>48655.620000000024</v>
      </c>
      <c r="P47" s="6">
        <f t="shared" si="3"/>
        <v>0.33003161222339317</v>
      </c>
      <c r="Q47">
        <f t="shared" si="4"/>
        <v>30</v>
      </c>
      <c r="R47">
        <f t="shared" si="5"/>
        <v>2013</v>
      </c>
      <c r="S47" t="str">
        <f t="shared" si="6"/>
        <v>March</v>
      </c>
      <c r="T47">
        <f t="shared" si="7"/>
        <v>3</v>
      </c>
      <c r="U47" t="str">
        <f t="shared" si="8"/>
        <v>Low Profit</v>
      </c>
    </row>
    <row r="48" spans="1:21" x14ac:dyDescent="0.35">
      <c r="A48" s="5" t="s">
        <v>42</v>
      </c>
      <c r="B48" s="5" t="s">
        <v>43</v>
      </c>
      <c r="C48" t="s">
        <v>92</v>
      </c>
      <c r="D48" t="s">
        <v>125</v>
      </c>
      <c r="E48" t="s">
        <v>29</v>
      </c>
      <c r="F48" t="s">
        <v>32</v>
      </c>
      <c r="G48" s="3">
        <v>40392</v>
      </c>
      <c r="H48">
        <v>489148938</v>
      </c>
      <c r="I48" s="3">
        <v>40422</v>
      </c>
      <c r="J48">
        <v>8896</v>
      </c>
      <c r="K48">
        <v>421.89</v>
      </c>
      <c r="L48">
        <v>364.69</v>
      </c>
      <c r="M48">
        <f t="shared" si="0"/>
        <v>3753133.44</v>
      </c>
      <c r="N48">
        <f t="shared" si="1"/>
        <v>3244282.2399999998</v>
      </c>
      <c r="O48">
        <f t="shared" si="2"/>
        <v>508851.20000000019</v>
      </c>
      <c r="P48" s="6">
        <f t="shared" si="3"/>
        <v>0.13558036455000125</v>
      </c>
      <c r="Q48">
        <f t="shared" si="4"/>
        <v>30</v>
      </c>
      <c r="R48">
        <f t="shared" si="5"/>
        <v>2010</v>
      </c>
      <c r="S48" t="str">
        <f t="shared" si="6"/>
        <v>August</v>
      </c>
      <c r="T48">
        <f t="shared" si="7"/>
        <v>8</v>
      </c>
      <c r="U48" t="str">
        <f t="shared" si="8"/>
        <v>High Profit</v>
      </c>
    </row>
    <row r="49" spans="1:21" x14ac:dyDescent="0.35">
      <c r="A49" s="5" t="s">
        <v>42</v>
      </c>
      <c r="B49" s="5" t="s">
        <v>102</v>
      </c>
      <c r="C49" t="s">
        <v>60</v>
      </c>
      <c r="D49" t="s">
        <v>126</v>
      </c>
      <c r="E49" t="s">
        <v>29</v>
      </c>
      <c r="F49" t="s">
        <v>66</v>
      </c>
      <c r="G49" s="3">
        <v>40913</v>
      </c>
      <c r="H49">
        <v>876286971</v>
      </c>
      <c r="I49" s="3">
        <v>40954</v>
      </c>
      <c r="J49">
        <v>1643</v>
      </c>
      <c r="K49">
        <v>668.27</v>
      </c>
      <c r="L49">
        <v>502.54</v>
      </c>
      <c r="M49">
        <f t="shared" si="0"/>
        <v>1097967.6099999999</v>
      </c>
      <c r="N49">
        <f t="shared" si="1"/>
        <v>825673.22000000009</v>
      </c>
      <c r="O49">
        <f t="shared" si="2"/>
        <v>272294.38999999978</v>
      </c>
      <c r="P49" s="6">
        <f t="shared" si="3"/>
        <v>0.24799856345489082</v>
      </c>
      <c r="Q49">
        <f t="shared" si="4"/>
        <v>41</v>
      </c>
      <c r="R49">
        <f t="shared" si="5"/>
        <v>2012</v>
      </c>
      <c r="S49" t="str">
        <f t="shared" si="6"/>
        <v>January</v>
      </c>
      <c r="T49">
        <f t="shared" si="7"/>
        <v>1</v>
      </c>
      <c r="U49" t="str">
        <f t="shared" si="8"/>
        <v>Medium Profit</v>
      </c>
    </row>
    <row r="50" spans="1:21" x14ac:dyDescent="0.35">
      <c r="A50" s="5" t="s">
        <v>19</v>
      </c>
      <c r="B50" s="5" t="s">
        <v>127</v>
      </c>
      <c r="C50" t="s">
        <v>83</v>
      </c>
      <c r="D50" t="s">
        <v>128</v>
      </c>
      <c r="E50" t="s">
        <v>23</v>
      </c>
      <c r="F50" t="s">
        <v>41</v>
      </c>
      <c r="G50" s="3">
        <v>42242</v>
      </c>
      <c r="H50">
        <v>262749040</v>
      </c>
      <c r="I50" s="3">
        <v>42246</v>
      </c>
      <c r="J50">
        <v>2135</v>
      </c>
      <c r="K50">
        <v>81.73</v>
      </c>
      <c r="L50">
        <v>56.67</v>
      </c>
      <c r="M50">
        <f t="shared" si="0"/>
        <v>174493.55000000002</v>
      </c>
      <c r="N50">
        <f t="shared" si="1"/>
        <v>120990.45</v>
      </c>
      <c r="O50">
        <f t="shared" si="2"/>
        <v>53503.10000000002</v>
      </c>
      <c r="P50" s="6">
        <f t="shared" si="3"/>
        <v>0.30661935641747223</v>
      </c>
      <c r="Q50">
        <f t="shared" si="4"/>
        <v>4</v>
      </c>
      <c r="R50">
        <f t="shared" si="5"/>
        <v>2015</v>
      </c>
      <c r="S50" t="str">
        <f t="shared" si="6"/>
        <v>August</v>
      </c>
      <c r="T50">
        <f t="shared" si="7"/>
        <v>8</v>
      </c>
      <c r="U50" t="str">
        <f t="shared" si="8"/>
        <v>Low Profit</v>
      </c>
    </row>
    <row r="51" spans="1:21" x14ac:dyDescent="0.35">
      <c r="A51" s="5" t="s">
        <v>33</v>
      </c>
      <c r="B51" s="5" t="s">
        <v>129</v>
      </c>
      <c r="C51" t="s">
        <v>92</v>
      </c>
      <c r="D51" t="s">
        <v>130</v>
      </c>
      <c r="E51" t="s">
        <v>29</v>
      </c>
      <c r="F51" t="s">
        <v>41</v>
      </c>
      <c r="G51" s="3">
        <v>42713</v>
      </c>
      <c r="H51">
        <v>726708972</v>
      </c>
      <c r="I51" s="3">
        <v>42761</v>
      </c>
      <c r="J51">
        <v>8189</v>
      </c>
      <c r="K51">
        <v>421.89</v>
      </c>
      <c r="L51">
        <v>364.69</v>
      </c>
      <c r="M51">
        <f t="shared" si="0"/>
        <v>3454857.21</v>
      </c>
      <c r="N51">
        <f t="shared" si="1"/>
        <v>2986446.41</v>
      </c>
      <c r="O51">
        <f t="shared" si="2"/>
        <v>468410.79999999981</v>
      </c>
      <c r="P51" s="6">
        <f t="shared" si="3"/>
        <v>0.13558036455000114</v>
      </c>
      <c r="Q51">
        <f t="shared" si="4"/>
        <v>48</v>
      </c>
      <c r="R51">
        <f t="shared" si="5"/>
        <v>2016</v>
      </c>
      <c r="S51" t="str">
        <f t="shared" si="6"/>
        <v>December</v>
      </c>
      <c r="T51">
        <f t="shared" si="7"/>
        <v>12</v>
      </c>
      <c r="U51" t="str">
        <f t="shared" si="8"/>
        <v>Medium Profit</v>
      </c>
    </row>
    <row r="52" spans="1:21" x14ac:dyDescent="0.35">
      <c r="A52" s="5" t="s">
        <v>53</v>
      </c>
      <c r="B52" s="5" t="s">
        <v>131</v>
      </c>
      <c r="C52" t="s">
        <v>27</v>
      </c>
      <c r="D52" t="s">
        <v>132</v>
      </c>
      <c r="E52" t="s">
        <v>29</v>
      </c>
      <c r="F52" t="s">
        <v>66</v>
      </c>
      <c r="G52" s="3">
        <v>41046</v>
      </c>
      <c r="H52">
        <v>366653096</v>
      </c>
      <c r="I52" s="3">
        <v>41060</v>
      </c>
      <c r="J52">
        <v>9654</v>
      </c>
      <c r="K52">
        <v>154.06</v>
      </c>
      <c r="L52">
        <v>90.93</v>
      </c>
      <c r="M52">
        <f t="shared" si="0"/>
        <v>1487295.24</v>
      </c>
      <c r="N52">
        <f t="shared" si="1"/>
        <v>877838.22000000009</v>
      </c>
      <c r="O52">
        <f t="shared" si="2"/>
        <v>609457.0199999999</v>
      </c>
      <c r="P52" s="6">
        <f t="shared" si="3"/>
        <v>0.40977541217707381</v>
      </c>
      <c r="Q52">
        <f t="shared" si="4"/>
        <v>14</v>
      </c>
      <c r="R52">
        <f t="shared" si="5"/>
        <v>2012</v>
      </c>
      <c r="S52" t="str">
        <f t="shared" si="6"/>
        <v>May</v>
      </c>
      <c r="T52">
        <f t="shared" si="7"/>
        <v>5</v>
      </c>
      <c r="U52" t="str">
        <f t="shared" si="8"/>
        <v>High Profit</v>
      </c>
    </row>
    <row r="53" spans="1:21" x14ac:dyDescent="0.35">
      <c r="A53" s="5" t="s">
        <v>37</v>
      </c>
      <c r="B53" s="5" t="s">
        <v>133</v>
      </c>
      <c r="C53" t="s">
        <v>27</v>
      </c>
      <c r="D53" t="s">
        <v>134</v>
      </c>
      <c r="E53" t="s">
        <v>29</v>
      </c>
      <c r="F53" t="s">
        <v>24</v>
      </c>
      <c r="G53" s="3">
        <v>40499</v>
      </c>
      <c r="H53">
        <v>951380240</v>
      </c>
      <c r="I53" s="3">
        <v>40532</v>
      </c>
      <c r="J53">
        <v>3410</v>
      </c>
      <c r="K53">
        <v>154.06</v>
      </c>
      <c r="L53">
        <v>90.93</v>
      </c>
      <c r="M53">
        <f t="shared" si="0"/>
        <v>525344.6</v>
      </c>
      <c r="N53">
        <f t="shared" si="1"/>
        <v>310071.30000000005</v>
      </c>
      <c r="O53">
        <f t="shared" si="2"/>
        <v>215273.29999999993</v>
      </c>
      <c r="P53" s="6">
        <f t="shared" si="3"/>
        <v>0.40977541217707375</v>
      </c>
      <c r="Q53">
        <f t="shared" si="4"/>
        <v>33</v>
      </c>
      <c r="R53">
        <f t="shared" si="5"/>
        <v>2010</v>
      </c>
      <c r="S53" t="str">
        <f t="shared" si="6"/>
        <v>November</v>
      </c>
      <c r="T53">
        <f t="shared" si="7"/>
        <v>11</v>
      </c>
      <c r="U53" t="str">
        <f t="shared" si="8"/>
        <v>Medium Profit</v>
      </c>
    </row>
    <row r="54" spans="1:21" x14ac:dyDescent="0.35">
      <c r="A54" s="5" t="s">
        <v>42</v>
      </c>
      <c r="B54" s="5" t="s">
        <v>135</v>
      </c>
      <c r="C54" t="s">
        <v>21</v>
      </c>
      <c r="D54" t="s">
        <v>136</v>
      </c>
      <c r="E54" t="s">
        <v>29</v>
      </c>
      <c r="F54" t="s">
        <v>24</v>
      </c>
      <c r="G54" s="3">
        <v>41956</v>
      </c>
      <c r="H54">
        <v>270001733</v>
      </c>
      <c r="I54" s="3">
        <v>42005</v>
      </c>
      <c r="J54">
        <v>8368</v>
      </c>
      <c r="K54">
        <v>437.2</v>
      </c>
      <c r="L54">
        <v>263.33</v>
      </c>
      <c r="M54">
        <f t="shared" si="0"/>
        <v>3658489.6</v>
      </c>
      <c r="N54">
        <f t="shared" si="1"/>
        <v>2203545.44</v>
      </c>
      <c r="O54">
        <f t="shared" si="2"/>
        <v>1454944.1600000001</v>
      </c>
      <c r="P54" s="6">
        <f t="shared" si="3"/>
        <v>0.3976898444647759</v>
      </c>
      <c r="Q54">
        <f t="shared" si="4"/>
        <v>49</v>
      </c>
      <c r="R54">
        <f t="shared" si="5"/>
        <v>2014</v>
      </c>
      <c r="S54" t="str">
        <f t="shared" si="6"/>
        <v>November</v>
      </c>
      <c r="T54">
        <f t="shared" si="7"/>
        <v>11</v>
      </c>
      <c r="U54" t="str">
        <f t="shared" si="8"/>
        <v>High Profit</v>
      </c>
    </row>
    <row r="55" spans="1:21" x14ac:dyDescent="0.35">
      <c r="A55" s="5" t="s">
        <v>42</v>
      </c>
      <c r="B55" s="5" t="s">
        <v>137</v>
      </c>
      <c r="C55" t="s">
        <v>72</v>
      </c>
      <c r="D55" t="s">
        <v>138</v>
      </c>
      <c r="E55" t="s">
        <v>29</v>
      </c>
      <c r="F55" t="s">
        <v>32</v>
      </c>
      <c r="G55" s="3">
        <v>42537</v>
      </c>
      <c r="H55">
        <v>681941401</v>
      </c>
      <c r="I55" s="3">
        <v>42579</v>
      </c>
      <c r="J55">
        <v>470</v>
      </c>
      <c r="K55">
        <v>47.45</v>
      </c>
      <c r="L55">
        <v>31.79</v>
      </c>
      <c r="M55">
        <f t="shared" si="0"/>
        <v>22301.5</v>
      </c>
      <c r="N55">
        <f t="shared" si="1"/>
        <v>14941.3</v>
      </c>
      <c r="O55">
        <f t="shared" si="2"/>
        <v>7360.2000000000007</v>
      </c>
      <c r="P55" s="6">
        <f t="shared" si="3"/>
        <v>0.33003161222339306</v>
      </c>
      <c r="Q55">
        <f t="shared" si="4"/>
        <v>42</v>
      </c>
      <c r="R55">
        <f t="shared" si="5"/>
        <v>2016</v>
      </c>
      <c r="S55" t="str">
        <f t="shared" si="6"/>
        <v>June</v>
      </c>
      <c r="T55">
        <f t="shared" si="7"/>
        <v>6</v>
      </c>
      <c r="U55" t="str">
        <f t="shared" si="8"/>
        <v>Low Profit</v>
      </c>
    </row>
    <row r="56" spans="1:21" x14ac:dyDescent="0.35">
      <c r="A56" s="5" t="s">
        <v>37</v>
      </c>
      <c r="B56" s="5" t="s">
        <v>139</v>
      </c>
      <c r="C56" t="s">
        <v>39</v>
      </c>
      <c r="D56" t="s">
        <v>140</v>
      </c>
      <c r="E56" t="s">
        <v>29</v>
      </c>
      <c r="F56" t="s">
        <v>66</v>
      </c>
      <c r="G56" s="3">
        <v>42521</v>
      </c>
      <c r="H56">
        <v>566935575</v>
      </c>
      <c r="I56" s="3">
        <v>42528</v>
      </c>
      <c r="J56">
        <v>7690</v>
      </c>
      <c r="K56">
        <v>9.33</v>
      </c>
      <c r="L56">
        <v>6.92</v>
      </c>
      <c r="M56">
        <f t="shared" si="0"/>
        <v>71747.7</v>
      </c>
      <c r="N56">
        <f t="shared" si="1"/>
        <v>53214.8</v>
      </c>
      <c r="O56">
        <f t="shared" si="2"/>
        <v>18532.899999999994</v>
      </c>
      <c r="P56" s="6">
        <f t="shared" si="3"/>
        <v>0.25830653804930326</v>
      </c>
      <c r="Q56">
        <f t="shared" si="4"/>
        <v>7</v>
      </c>
      <c r="R56">
        <f t="shared" si="5"/>
        <v>2016</v>
      </c>
      <c r="S56" t="str">
        <f t="shared" si="6"/>
        <v>May</v>
      </c>
      <c r="T56">
        <f t="shared" si="7"/>
        <v>5</v>
      </c>
      <c r="U56" t="str">
        <f t="shared" si="8"/>
        <v>Low Profit</v>
      </c>
    </row>
    <row r="57" spans="1:21" x14ac:dyDescent="0.35">
      <c r="A57" s="5" t="s">
        <v>33</v>
      </c>
      <c r="B57" s="5" t="s">
        <v>141</v>
      </c>
      <c r="C57" t="s">
        <v>58</v>
      </c>
      <c r="D57" t="s">
        <v>142</v>
      </c>
      <c r="E57" t="s">
        <v>23</v>
      </c>
      <c r="F57" t="s">
        <v>24</v>
      </c>
      <c r="G57" s="3">
        <v>41188</v>
      </c>
      <c r="H57">
        <v>175033080</v>
      </c>
      <c r="I57" s="3">
        <v>41218</v>
      </c>
      <c r="J57">
        <v>5033</v>
      </c>
      <c r="K57">
        <v>152.58000000000001</v>
      </c>
      <c r="L57">
        <v>97.44</v>
      </c>
      <c r="M57">
        <f t="shared" si="0"/>
        <v>767935.14</v>
      </c>
      <c r="N57">
        <f t="shared" si="1"/>
        <v>490415.51999999996</v>
      </c>
      <c r="O57">
        <f t="shared" si="2"/>
        <v>277519.62000000005</v>
      </c>
      <c r="P57" s="6">
        <f t="shared" si="3"/>
        <v>0.36138419189933157</v>
      </c>
      <c r="Q57">
        <f t="shared" si="4"/>
        <v>30</v>
      </c>
      <c r="R57">
        <f t="shared" si="5"/>
        <v>2012</v>
      </c>
      <c r="S57" t="str">
        <f t="shared" si="6"/>
        <v>October</v>
      </c>
      <c r="T57">
        <f t="shared" si="7"/>
        <v>10</v>
      </c>
      <c r="U57" t="str">
        <f t="shared" si="8"/>
        <v>Medium Profit</v>
      </c>
    </row>
    <row r="58" spans="1:21" x14ac:dyDescent="0.35">
      <c r="A58" s="5" t="s">
        <v>33</v>
      </c>
      <c r="B58" s="5" t="s">
        <v>143</v>
      </c>
      <c r="C58" t="s">
        <v>69</v>
      </c>
      <c r="D58" t="s">
        <v>144</v>
      </c>
      <c r="E58" t="s">
        <v>23</v>
      </c>
      <c r="F58" t="s">
        <v>66</v>
      </c>
      <c r="G58" s="3">
        <v>40978</v>
      </c>
      <c r="H58">
        <v>276595246</v>
      </c>
      <c r="I58" s="3">
        <v>40983</v>
      </c>
      <c r="J58">
        <v>9535</v>
      </c>
      <c r="K58">
        <v>651.21</v>
      </c>
      <c r="L58">
        <v>524.96</v>
      </c>
      <c r="M58">
        <f t="shared" si="0"/>
        <v>6209287.3500000006</v>
      </c>
      <c r="N58">
        <f t="shared" si="1"/>
        <v>5005493.6000000006</v>
      </c>
      <c r="O58">
        <f t="shared" si="2"/>
        <v>1203793.75</v>
      </c>
      <c r="P58" s="6">
        <f t="shared" si="3"/>
        <v>0.19386987300563566</v>
      </c>
      <c r="Q58">
        <f t="shared" si="4"/>
        <v>5</v>
      </c>
      <c r="R58">
        <f t="shared" si="5"/>
        <v>2012</v>
      </c>
      <c r="S58" t="str">
        <f t="shared" si="6"/>
        <v>March</v>
      </c>
      <c r="T58">
        <f t="shared" si="7"/>
        <v>3</v>
      </c>
      <c r="U58" t="str">
        <f t="shared" si="8"/>
        <v>High Profit</v>
      </c>
    </row>
    <row r="59" spans="1:21" x14ac:dyDescent="0.35">
      <c r="A59" s="5" t="s">
        <v>42</v>
      </c>
      <c r="B59" s="5" t="s">
        <v>145</v>
      </c>
      <c r="C59" t="s">
        <v>69</v>
      </c>
      <c r="D59" t="s">
        <v>146</v>
      </c>
      <c r="E59" t="s">
        <v>29</v>
      </c>
      <c r="F59" t="s">
        <v>24</v>
      </c>
      <c r="G59" s="3">
        <v>40569</v>
      </c>
      <c r="H59">
        <v>812295901</v>
      </c>
      <c r="I59" s="3">
        <v>40587</v>
      </c>
      <c r="J59">
        <v>5263</v>
      </c>
      <c r="K59">
        <v>651.21</v>
      </c>
      <c r="L59">
        <v>524.96</v>
      </c>
      <c r="M59">
        <f t="shared" si="0"/>
        <v>3427318.23</v>
      </c>
      <c r="N59">
        <f t="shared" si="1"/>
        <v>2762864.48</v>
      </c>
      <c r="O59">
        <f t="shared" si="2"/>
        <v>664453.75</v>
      </c>
      <c r="P59" s="6">
        <f t="shared" si="3"/>
        <v>0.19386987300563566</v>
      </c>
      <c r="Q59">
        <f t="shared" si="4"/>
        <v>18</v>
      </c>
      <c r="R59">
        <f t="shared" si="5"/>
        <v>2011</v>
      </c>
      <c r="S59" t="str">
        <f t="shared" si="6"/>
        <v>January</v>
      </c>
      <c r="T59">
        <f t="shared" si="7"/>
        <v>1</v>
      </c>
      <c r="U59" t="str">
        <f t="shared" si="8"/>
        <v>High Profit</v>
      </c>
    </row>
    <row r="60" spans="1:21" x14ac:dyDescent="0.35">
      <c r="A60" s="5" t="s">
        <v>33</v>
      </c>
      <c r="B60" s="5" t="s">
        <v>147</v>
      </c>
      <c r="C60" t="s">
        <v>27</v>
      </c>
      <c r="D60" t="s">
        <v>148</v>
      </c>
      <c r="E60" t="s">
        <v>23</v>
      </c>
      <c r="F60" t="s">
        <v>32</v>
      </c>
      <c r="G60" s="3">
        <v>41792</v>
      </c>
      <c r="H60">
        <v>443121373</v>
      </c>
      <c r="I60" s="3">
        <v>41809</v>
      </c>
      <c r="J60">
        <v>8316</v>
      </c>
      <c r="K60">
        <v>154.06</v>
      </c>
      <c r="L60">
        <v>90.93</v>
      </c>
      <c r="M60">
        <f t="shared" si="0"/>
        <v>1281162.96</v>
      </c>
      <c r="N60">
        <f t="shared" si="1"/>
        <v>756173.88</v>
      </c>
      <c r="O60">
        <f t="shared" si="2"/>
        <v>524989.07999999996</v>
      </c>
      <c r="P60" s="6">
        <f t="shared" si="3"/>
        <v>0.40977541217707386</v>
      </c>
      <c r="Q60">
        <f t="shared" si="4"/>
        <v>17</v>
      </c>
      <c r="R60">
        <f t="shared" si="5"/>
        <v>2014</v>
      </c>
      <c r="S60" t="str">
        <f t="shared" si="6"/>
        <v>June</v>
      </c>
      <c r="T60">
        <f t="shared" si="7"/>
        <v>6</v>
      </c>
      <c r="U60" t="str">
        <f t="shared" si="8"/>
        <v>High Profit</v>
      </c>
    </row>
    <row r="61" spans="1:21" x14ac:dyDescent="0.35">
      <c r="A61" s="5" t="s">
        <v>53</v>
      </c>
      <c r="B61" s="5" t="s">
        <v>54</v>
      </c>
      <c r="C61" t="s">
        <v>83</v>
      </c>
      <c r="D61" t="s">
        <v>149</v>
      </c>
      <c r="E61" t="s">
        <v>23</v>
      </c>
      <c r="F61" t="s">
        <v>41</v>
      </c>
      <c r="G61" s="3">
        <v>42721</v>
      </c>
      <c r="H61">
        <v>600370490</v>
      </c>
      <c r="I61" s="3">
        <v>42760</v>
      </c>
      <c r="J61">
        <v>1824</v>
      </c>
      <c r="K61">
        <v>81.73</v>
      </c>
      <c r="L61">
        <v>56.67</v>
      </c>
      <c r="M61">
        <f t="shared" si="0"/>
        <v>149075.52000000002</v>
      </c>
      <c r="N61">
        <f t="shared" si="1"/>
        <v>103366.08</v>
      </c>
      <c r="O61">
        <f t="shared" si="2"/>
        <v>45709.440000000017</v>
      </c>
      <c r="P61" s="6">
        <f t="shared" si="3"/>
        <v>0.30661935641747223</v>
      </c>
      <c r="Q61">
        <f t="shared" si="4"/>
        <v>39</v>
      </c>
      <c r="R61">
        <f t="shared" si="5"/>
        <v>2016</v>
      </c>
      <c r="S61" t="str">
        <f t="shared" si="6"/>
        <v>December</v>
      </c>
      <c r="T61">
        <f t="shared" si="7"/>
        <v>12</v>
      </c>
      <c r="U61" t="str">
        <f t="shared" si="8"/>
        <v>Low Profit</v>
      </c>
    </row>
    <row r="62" spans="1:21" x14ac:dyDescent="0.35">
      <c r="A62" s="5" t="s">
        <v>42</v>
      </c>
      <c r="B62" s="5" t="s">
        <v>150</v>
      </c>
      <c r="C62" t="s">
        <v>69</v>
      </c>
      <c r="D62" t="s">
        <v>151</v>
      </c>
      <c r="E62" t="s">
        <v>29</v>
      </c>
      <c r="F62" t="s">
        <v>66</v>
      </c>
      <c r="G62" s="3">
        <v>41817</v>
      </c>
      <c r="H62">
        <v>535654580</v>
      </c>
      <c r="I62" s="3">
        <v>41849</v>
      </c>
      <c r="J62">
        <v>949</v>
      </c>
      <c r="K62">
        <v>651.21</v>
      </c>
      <c r="L62">
        <v>524.96</v>
      </c>
      <c r="M62">
        <f t="shared" si="0"/>
        <v>617998.29</v>
      </c>
      <c r="N62">
        <f t="shared" si="1"/>
        <v>498187.04000000004</v>
      </c>
      <c r="O62">
        <f t="shared" si="2"/>
        <v>119811.25</v>
      </c>
      <c r="P62" s="6">
        <f t="shared" si="3"/>
        <v>0.19386987300563566</v>
      </c>
      <c r="Q62">
        <f t="shared" si="4"/>
        <v>32</v>
      </c>
      <c r="R62">
        <f t="shared" si="5"/>
        <v>2014</v>
      </c>
      <c r="S62" t="str">
        <f t="shared" si="6"/>
        <v>June</v>
      </c>
      <c r="T62">
        <f t="shared" si="7"/>
        <v>6</v>
      </c>
      <c r="U62" t="str">
        <f t="shared" si="8"/>
        <v>Medium Profit</v>
      </c>
    </row>
    <row r="63" spans="1:21" x14ac:dyDescent="0.35">
      <c r="A63" s="5" t="s">
        <v>50</v>
      </c>
      <c r="B63" s="5" t="s">
        <v>152</v>
      </c>
      <c r="C63" t="s">
        <v>21</v>
      </c>
      <c r="D63" t="s">
        <v>153</v>
      </c>
      <c r="E63" t="s">
        <v>23</v>
      </c>
      <c r="F63" t="s">
        <v>41</v>
      </c>
      <c r="G63" s="3">
        <v>42080</v>
      </c>
      <c r="H63">
        <v>470897471</v>
      </c>
      <c r="I63" s="3">
        <v>42116</v>
      </c>
      <c r="J63">
        <v>7881</v>
      </c>
      <c r="K63">
        <v>437.2</v>
      </c>
      <c r="L63">
        <v>263.33</v>
      </c>
      <c r="M63">
        <f t="shared" si="0"/>
        <v>3445573.1999999997</v>
      </c>
      <c r="N63">
        <f t="shared" si="1"/>
        <v>2075303.73</v>
      </c>
      <c r="O63">
        <f t="shared" si="2"/>
        <v>1370269.4699999997</v>
      </c>
      <c r="P63" s="6">
        <f t="shared" si="3"/>
        <v>0.39768984446477579</v>
      </c>
      <c r="Q63">
        <f t="shared" si="4"/>
        <v>36</v>
      </c>
      <c r="R63">
        <f t="shared" si="5"/>
        <v>2015</v>
      </c>
      <c r="S63" t="str">
        <f t="shared" si="6"/>
        <v>March</v>
      </c>
      <c r="T63">
        <f t="shared" si="7"/>
        <v>3</v>
      </c>
      <c r="U63" t="str">
        <f t="shared" si="8"/>
        <v>High Profit</v>
      </c>
    </row>
    <row r="64" spans="1:21" x14ac:dyDescent="0.35">
      <c r="A64" s="5" t="s">
        <v>42</v>
      </c>
      <c r="B64" s="5" t="s">
        <v>113</v>
      </c>
      <c r="C64" t="s">
        <v>72</v>
      </c>
      <c r="D64" t="s">
        <v>154</v>
      </c>
      <c r="E64" t="s">
        <v>23</v>
      </c>
      <c r="F64" t="s">
        <v>66</v>
      </c>
      <c r="G64" s="3">
        <v>41367</v>
      </c>
      <c r="H64">
        <v>248335492</v>
      </c>
      <c r="I64" s="3">
        <v>41368</v>
      </c>
      <c r="J64">
        <v>6846</v>
      </c>
      <c r="K64">
        <v>47.45</v>
      </c>
      <c r="L64">
        <v>31.79</v>
      </c>
      <c r="M64">
        <f t="shared" si="0"/>
        <v>324842.7</v>
      </c>
      <c r="N64">
        <f t="shared" si="1"/>
        <v>217634.34</v>
      </c>
      <c r="O64">
        <f t="shared" si="2"/>
        <v>107208.36000000002</v>
      </c>
      <c r="P64" s="6">
        <f t="shared" si="3"/>
        <v>0.33003161222339306</v>
      </c>
      <c r="Q64">
        <f t="shared" si="4"/>
        <v>1</v>
      </c>
      <c r="R64">
        <f t="shared" si="5"/>
        <v>2013</v>
      </c>
      <c r="S64" t="str">
        <f t="shared" si="6"/>
        <v>April</v>
      </c>
      <c r="T64">
        <f t="shared" si="7"/>
        <v>4</v>
      </c>
      <c r="U64" t="str">
        <f t="shared" si="8"/>
        <v>Medium Profit</v>
      </c>
    </row>
    <row r="65" spans="1:21" x14ac:dyDescent="0.35">
      <c r="A65" s="5" t="s">
        <v>37</v>
      </c>
      <c r="B65" s="5" t="s">
        <v>155</v>
      </c>
      <c r="C65" t="s">
        <v>48</v>
      </c>
      <c r="D65" t="s">
        <v>156</v>
      </c>
      <c r="E65" t="s">
        <v>23</v>
      </c>
      <c r="F65" t="s">
        <v>32</v>
      </c>
      <c r="G65" s="3">
        <v>42071</v>
      </c>
      <c r="H65">
        <v>680517470</v>
      </c>
      <c r="I65" s="3">
        <v>42088</v>
      </c>
      <c r="J65">
        <v>9097</v>
      </c>
      <c r="K65">
        <v>109.28</v>
      </c>
      <c r="L65">
        <v>35.840000000000003</v>
      </c>
      <c r="M65">
        <f t="shared" si="0"/>
        <v>994120.16</v>
      </c>
      <c r="N65">
        <f t="shared" si="1"/>
        <v>326036.48000000004</v>
      </c>
      <c r="O65">
        <f t="shared" si="2"/>
        <v>668083.67999999993</v>
      </c>
      <c r="P65" s="6">
        <f t="shared" si="3"/>
        <v>0.67203513909224</v>
      </c>
      <c r="Q65">
        <f t="shared" si="4"/>
        <v>17</v>
      </c>
      <c r="R65">
        <f t="shared" si="5"/>
        <v>2015</v>
      </c>
      <c r="S65" t="str">
        <f t="shared" si="6"/>
        <v>March</v>
      </c>
      <c r="T65">
        <f t="shared" si="7"/>
        <v>3</v>
      </c>
      <c r="U65" t="str">
        <f t="shared" si="8"/>
        <v>High Profit</v>
      </c>
    </row>
    <row r="66" spans="1:21" x14ac:dyDescent="0.35">
      <c r="A66" s="5" t="s">
        <v>37</v>
      </c>
      <c r="B66" s="5" t="s">
        <v>157</v>
      </c>
      <c r="C66" t="s">
        <v>83</v>
      </c>
      <c r="D66" t="s">
        <v>158</v>
      </c>
      <c r="E66" t="s">
        <v>29</v>
      </c>
      <c r="F66" t="s">
        <v>24</v>
      </c>
      <c r="G66" s="3">
        <v>41446</v>
      </c>
      <c r="H66">
        <v>400304734</v>
      </c>
      <c r="I66" s="3">
        <v>41484</v>
      </c>
      <c r="J66">
        <v>7921</v>
      </c>
      <c r="K66">
        <v>81.73</v>
      </c>
      <c r="L66">
        <v>56.67</v>
      </c>
      <c r="M66">
        <f t="shared" si="0"/>
        <v>647383.33000000007</v>
      </c>
      <c r="N66">
        <f t="shared" si="1"/>
        <v>448883.07</v>
      </c>
      <c r="O66">
        <f t="shared" si="2"/>
        <v>198500.26000000007</v>
      </c>
      <c r="P66" s="6">
        <f t="shared" si="3"/>
        <v>0.30661935641747223</v>
      </c>
      <c r="Q66">
        <f t="shared" si="4"/>
        <v>38</v>
      </c>
      <c r="R66">
        <f t="shared" si="5"/>
        <v>2013</v>
      </c>
      <c r="S66" t="str">
        <f t="shared" si="6"/>
        <v>June</v>
      </c>
      <c r="T66">
        <f t="shared" si="7"/>
        <v>6</v>
      </c>
      <c r="U66" t="str">
        <f t="shared" si="8"/>
        <v>Medium Profit</v>
      </c>
    </row>
    <row r="67" spans="1:21" x14ac:dyDescent="0.35">
      <c r="A67" s="5" t="s">
        <v>42</v>
      </c>
      <c r="B67" s="5" t="s">
        <v>159</v>
      </c>
      <c r="C67" t="s">
        <v>69</v>
      </c>
      <c r="D67" t="s">
        <v>160</v>
      </c>
      <c r="E67" t="s">
        <v>23</v>
      </c>
      <c r="F67" t="s">
        <v>32</v>
      </c>
      <c r="G67" s="3">
        <v>41280</v>
      </c>
      <c r="H67">
        <v>810871112</v>
      </c>
      <c r="I67" s="3">
        <v>41282</v>
      </c>
      <c r="J67">
        <v>3636</v>
      </c>
      <c r="K67">
        <v>651.21</v>
      </c>
      <c r="L67">
        <v>524.96</v>
      </c>
      <c r="M67">
        <f t="shared" ref="M67:M130" si="9">J67*K67</f>
        <v>2367799.56</v>
      </c>
      <c r="N67">
        <f t="shared" ref="N67:N130" si="10">J67*L67</f>
        <v>1908754.56</v>
      </c>
      <c r="O67">
        <f t="shared" ref="O67:O130" si="11">M67-N67</f>
        <v>459045</v>
      </c>
      <c r="P67" s="6">
        <f t="shared" ref="P67:P130" si="12">O67/M67</f>
        <v>0.19386987300563566</v>
      </c>
      <c r="Q67">
        <f t="shared" ref="Q67:Q130" si="13">I67-G67</f>
        <v>2</v>
      </c>
      <c r="R67">
        <f t="shared" ref="R67:R130" si="14">YEAR(G67)</f>
        <v>2013</v>
      </c>
      <c r="S67" t="str">
        <f t="shared" ref="S67:S130" si="15">TEXT(G67,"mmmm")</f>
        <v>January</v>
      </c>
      <c r="T67">
        <f t="shared" ref="T67:T130" si="16">MONTH(G67)</f>
        <v>1</v>
      </c>
      <c r="U67" t="str">
        <f t="shared" ref="U67:U130" si="17">IF(O67&gt;=500000,"High Profit",
IF(O67&gt;=100000,"Medium Profit","Low Profit"))</f>
        <v>Medium Profit</v>
      </c>
    </row>
    <row r="68" spans="1:21" x14ac:dyDescent="0.35">
      <c r="A68" s="5" t="s">
        <v>37</v>
      </c>
      <c r="B68" s="5" t="s">
        <v>161</v>
      </c>
      <c r="C68" t="s">
        <v>35</v>
      </c>
      <c r="D68" t="s">
        <v>162</v>
      </c>
      <c r="E68" t="s">
        <v>29</v>
      </c>
      <c r="F68" t="s">
        <v>66</v>
      </c>
      <c r="G68" s="3">
        <v>40985</v>
      </c>
      <c r="H68">
        <v>235702931</v>
      </c>
      <c r="I68" s="3">
        <v>41002</v>
      </c>
      <c r="J68">
        <v>8590</v>
      </c>
      <c r="K68">
        <v>205.7</v>
      </c>
      <c r="L68">
        <v>117.11</v>
      </c>
      <c r="M68">
        <f t="shared" si="9"/>
        <v>1766963</v>
      </c>
      <c r="N68">
        <f t="shared" si="10"/>
        <v>1005974.9</v>
      </c>
      <c r="O68">
        <f t="shared" si="11"/>
        <v>760988.1</v>
      </c>
      <c r="P68" s="6">
        <f t="shared" si="12"/>
        <v>0.43067574137092851</v>
      </c>
      <c r="Q68">
        <f t="shared" si="13"/>
        <v>17</v>
      </c>
      <c r="R68">
        <f t="shared" si="14"/>
        <v>2012</v>
      </c>
      <c r="S68" t="str">
        <f t="shared" si="15"/>
        <v>March</v>
      </c>
      <c r="T68">
        <f t="shared" si="16"/>
        <v>3</v>
      </c>
      <c r="U68" t="str">
        <f t="shared" si="17"/>
        <v>High Profit</v>
      </c>
    </row>
    <row r="69" spans="1:21" x14ac:dyDescent="0.35">
      <c r="A69" s="5" t="s">
        <v>37</v>
      </c>
      <c r="B69" s="5" t="s">
        <v>120</v>
      </c>
      <c r="C69" t="s">
        <v>69</v>
      </c>
      <c r="D69" t="s">
        <v>163</v>
      </c>
      <c r="E69" t="s">
        <v>23</v>
      </c>
      <c r="F69" t="s">
        <v>32</v>
      </c>
      <c r="G69" s="3">
        <v>41747</v>
      </c>
      <c r="H69">
        <v>668599021</v>
      </c>
      <c r="I69" s="3">
        <v>41771</v>
      </c>
      <c r="J69">
        <v>2163</v>
      </c>
      <c r="K69">
        <v>651.21</v>
      </c>
      <c r="L69">
        <v>524.96</v>
      </c>
      <c r="M69">
        <f t="shared" si="9"/>
        <v>1408567.23</v>
      </c>
      <c r="N69">
        <f t="shared" si="10"/>
        <v>1135488.48</v>
      </c>
      <c r="O69">
        <f t="shared" si="11"/>
        <v>273078.75</v>
      </c>
      <c r="P69" s="6">
        <f t="shared" si="12"/>
        <v>0.19386987300563566</v>
      </c>
      <c r="Q69">
        <f t="shared" si="13"/>
        <v>24</v>
      </c>
      <c r="R69">
        <f t="shared" si="14"/>
        <v>2014</v>
      </c>
      <c r="S69" t="str">
        <f t="shared" si="15"/>
        <v>April</v>
      </c>
      <c r="T69">
        <f t="shared" si="16"/>
        <v>4</v>
      </c>
      <c r="U69" t="str">
        <f t="shared" si="17"/>
        <v>Medium Profit</v>
      </c>
    </row>
    <row r="70" spans="1:21" x14ac:dyDescent="0.35">
      <c r="A70" s="5" t="s">
        <v>37</v>
      </c>
      <c r="B70" s="5" t="s">
        <v>164</v>
      </c>
      <c r="C70" t="s">
        <v>30</v>
      </c>
      <c r="D70" t="s">
        <v>165</v>
      </c>
      <c r="E70" t="s">
        <v>29</v>
      </c>
      <c r="F70" t="s">
        <v>24</v>
      </c>
      <c r="G70" s="3">
        <v>42372</v>
      </c>
      <c r="H70">
        <v>123670709</v>
      </c>
      <c r="I70" s="3">
        <v>42401</v>
      </c>
      <c r="J70">
        <v>5766</v>
      </c>
      <c r="K70">
        <v>255.28</v>
      </c>
      <c r="L70">
        <v>159.41999999999999</v>
      </c>
      <c r="M70">
        <f t="shared" si="9"/>
        <v>1471944.48</v>
      </c>
      <c r="N70">
        <f t="shared" si="10"/>
        <v>919215.72</v>
      </c>
      <c r="O70">
        <f t="shared" si="11"/>
        <v>552728.76</v>
      </c>
      <c r="P70" s="6">
        <f t="shared" si="12"/>
        <v>0.37550924475086184</v>
      </c>
      <c r="Q70">
        <f t="shared" si="13"/>
        <v>29</v>
      </c>
      <c r="R70">
        <f t="shared" si="14"/>
        <v>2016</v>
      </c>
      <c r="S70" t="str">
        <f t="shared" si="15"/>
        <v>January</v>
      </c>
      <c r="T70">
        <f t="shared" si="16"/>
        <v>1</v>
      </c>
      <c r="U70" t="str">
        <f t="shared" si="17"/>
        <v>High Profit</v>
      </c>
    </row>
    <row r="71" spans="1:21" x14ac:dyDescent="0.35">
      <c r="A71" s="5" t="s">
        <v>42</v>
      </c>
      <c r="B71" s="5" t="s">
        <v>166</v>
      </c>
      <c r="C71" t="s">
        <v>69</v>
      </c>
      <c r="D71" t="s">
        <v>167</v>
      </c>
      <c r="E71" t="s">
        <v>29</v>
      </c>
      <c r="F71" t="s">
        <v>66</v>
      </c>
      <c r="G71" s="3">
        <v>40675</v>
      </c>
      <c r="H71">
        <v>285341823</v>
      </c>
      <c r="I71" s="3">
        <v>40702</v>
      </c>
      <c r="J71">
        <v>7841</v>
      </c>
      <c r="K71">
        <v>651.21</v>
      </c>
      <c r="L71">
        <v>524.96</v>
      </c>
      <c r="M71">
        <f t="shared" si="9"/>
        <v>5106137.6100000003</v>
      </c>
      <c r="N71">
        <f t="shared" si="10"/>
        <v>4116211.3600000003</v>
      </c>
      <c r="O71">
        <f t="shared" si="11"/>
        <v>989926.25</v>
      </c>
      <c r="P71" s="6">
        <f t="shared" si="12"/>
        <v>0.19386987300563566</v>
      </c>
      <c r="Q71">
        <f t="shared" si="13"/>
        <v>27</v>
      </c>
      <c r="R71">
        <f t="shared" si="14"/>
        <v>2011</v>
      </c>
      <c r="S71" t="str">
        <f t="shared" si="15"/>
        <v>May</v>
      </c>
      <c r="T71">
        <f t="shared" si="16"/>
        <v>5</v>
      </c>
      <c r="U71" t="str">
        <f t="shared" si="17"/>
        <v>High Profit</v>
      </c>
    </row>
    <row r="72" spans="1:21" x14ac:dyDescent="0.35">
      <c r="A72" s="5" t="s">
        <v>33</v>
      </c>
      <c r="B72" s="5" t="s">
        <v>168</v>
      </c>
      <c r="C72" t="s">
        <v>39</v>
      </c>
      <c r="D72" t="s">
        <v>169</v>
      </c>
      <c r="E72" t="s">
        <v>29</v>
      </c>
      <c r="F72" t="s">
        <v>41</v>
      </c>
      <c r="G72" s="3">
        <v>40388</v>
      </c>
      <c r="H72">
        <v>658348691</v>
      </c>
      <c r="I72" s="3">
        <v>40412</v>
      </c>
      <c r="J72">
        <v>8862</v>
      </c>
      <c r="K72">
        <v>9.33</v>
      </c>
      <c r="L72">
        <v>6.92</v>
      </c>
      <c r="M72">
        <f t="shared" si="9"/>
        <v>82682.460000000006</v>
      </c>
      <c r="N72">
        <f t="shared" si="10"/>
        <v>61325.04</v>
      </c>
      <c r="O72">
        <f t="shared" si="11"/>
        <v>21357.420000000006</v>
      </c>
      <c r="P72" s="6">
        <f t="shared" si="12"/>
        <v>0.25830653804930337</v>
      </c>
      <c r="Q72">
        <f t="shared" si="13"/>
        <v>24</v>
      </c>
      <c r="R72">
        <f t="shared" si="14"/>
        <v>2010</v>
      </c>
      <c r="S72" t="str">
        <f t="shared" si="15"/>
        <v>July</v>
      </c>
      <c r="T72">
        <f t="shared" si="16"/>
        <v>7</v>
      </c>
      <c r="U72" t="str">
        <f t="shared" si="17"/>
        <v>Low Profit</v>
      </c>
    </row>
    <row r="73" spans="1:21" x14ac:dyDescent="0.35">
      <c r="A73" s="5" t="s">
        <v>42</v>
      </c>
      <c r="B73" s="5" t="s">
        <v>170</v>
      </c>
      <c r="C73" t="s">
        <v>30</v>
      </c>
      <c r="D73" t="s">
        <v>171</v>
      </c>
      <c r="E73" t="s">
        <v>23</v>
      </c>
      <c r="F73" t="s">
        <v>66</v>
      </c>
      <c r="G73" s="3">
        <v>41488</v>
      </c>
      <c r="H73">
        <v>817740142</v>
      </c>
      <c r="I73" s="3">
        <v>41505</v>
      </c>
      <c r="J73">
        <v>6335</v>
      </c>
      <c r="K73">
        <v>255.28</v>
      </c>
      <c r="L73">
        <v>159.41999999999999</v>
      </c>
      <c r="M73">
        <f t="shared" si="9"/>
        <v>1617198.8</v>
      </c>
      <c r="N73">
        <f t="shared" si="10"/>
        <v>1009925.7</v>
      </c>
      <c r="O73">
        <f t="shared" si="11"/>
        <v>607273.10000000009</v>
      </c>
      <c r="P73" s="6">
        <f t="shared" si="12"/>
        <v>0.37550924475086184</v>
      </c>
      <c r="Q73">
        <f t="shared" si="13"/>
        <v>17</v>
      </c>
      <c r="R73">
        <f t="shared" si="14"/>
        <v>2013</v>
      </c>
      <c r="S73" t="str">
        <f t="shared" si="15"/>
        <v>August</v>
      </c>
      <c r="T73">
        <f t="shared" si="16"/>
        <v>8</v>
      </c>
      <c r="U73" t="str">
        <f t="shared" si="17"/>
        <v>High Profit</v>
      </c>
    </row>
    <row r="74" spans="1:21" x14ac:dyDescent="0.35">
      <c r="A74" s="5" t="s">
        <v>37</v>
      </c>
      <c r="B74" s="5" t="s">
        <v>74</v>
      </c>
      <c r="C74" t="s">
        <v>72</v>
      </c>
      <c r="D74" t="s">
        <v>172</v>
      </c>
      <c r="E74" t="s">
        <v>23</v>
      </c>
      <c r="F74" t="s">
        <v>41</v>
      </c>
      <c r="G74" s="3">
        <v>41570</v>
      </c>
      <c r="H74">
        <v>858877503</v>
      </c>
      <c r="I74" s="3">
        <v>41584</v>
      </c>
      <c r="J74">
        <v>9794</v>
      </c>
      <c r="K74">
        <v>47.45</v>
      </c>
      <c r="L74">
        <v>31.79</v>
      </c>
      <c r="M74">
        <f t="shared" si="9"/>
        <v>464725.30000000005</v>
      </c>
      <c r="N74">
        <f t="shared" si="10"/>
        <v>311351.26</v>
      </c>
      <c r="O74">
        <f t="shared" si="11"/>
        <v>153374.04000000004</v>
      </c>
      <c r="P74" s="6">
        <f t="shared" si="12"/>
        <v>0.33003161222339311</v>
      </c>
      <c r="Q74">
        <f t="shared" si="13"/>
        <v>14</v>
      </c>
      <c r="R74">
        <f t="shared" si="14"/>
        <v>2013</v>
      </c>
      <c r="S74" t="str">
        <f t="shared" si="15"/>
        <v>October</v>
      </c>
      <c r="T74">
        <f t="shared" si="16"/>
        <v>10</v>
      </c>
      <c r="U74" t="str">
        <f t="shared" si="17"/>
        <v>Medium Profit</v>
      </c>
    </row>
    <row r="75" spans="1:21" x14ac:dyDescent="0.35">
      <c r="A75" s="5" t="s">
        <v>42</v>
      </c>
      <c r="B75" s="5" t="s">
        <v>111</v>
      </c>
      <c r="C75" t="s">
        <v>27</v>
      </c>
      <c r="D75" t="s">
        <v>173</v>
      </c>
      <c r="E75" t="s">
        <v>23</v>
      </c>
      <c r="F75" t="s">
        <v>24</v>
      </c>
      <c r="G75" s="3">
        <v>42771</v>
      </c>
      <c r="H75">
        <v>947434604</v>
      </c>
      <c r="I75" s="3">
        <v>42785</v>
      </c>
      <c r="J75">
        <v>5808</v>
      </c>
      <c r="K75">
        <v>154.06</v>
      </c>
      <c r="L75">
        <v>90.93</v>
      </c>
      <c r="M75">
        <f t="shared" si="9"/>
        <v>894780.48</v>
      </c>
      <c r="N75">
        <f t="shared" si="10"/>
        <v>528121.44000000006</v>
      </c>
      <c r="O75">
        <f t="shared" si="11"/>
        <v>366659.03999999992</v>
      </c>
      <c r="P75" s="6">
        <f t="shared" si="12"/>
        <v>0.40977541217707381</v>
      </c>
      <c r="Q75">
        <f t="shared" si="13"/>
        <v>14</v>
      </c>
      <c r="R75">
        <f t="shared" si="14"/>
        <v>2017</v>
      </c>
      <c r="S75" t="str">
        <f t="shared" si="15"/>
        <v>February</v>
      </c>
      <c r="T75">
        <f t="shared" si="16"/>
        <v>2</v>
      </c>
      <c r="U75" t="str">
        <f t="shared" si="17"/>
        <v>Medium Profit</v>
      </c>
    </row>
    <row r="76" spans="1:21" x14ac:dyDescent="0.35">
      <c r="A76" s="5" t="s">
        <v>42</v>
      </c>
      <c r="B76" s="5" t="s">
        <v>174</v>
      </c>
      <c r="C76" t="s">
        <v>92</v>
      </c>
      <c r="D76" t="s">
        <v>175</v>
      </c>
      <c r="E76" t="s">
        <v>23</v>
      </c>
      <c r="F76" t="s">
        <v>41</v>
      </c>
      <c r="G76" s="3">
        <v>42083</v>
      </c>
      <c r="H76">
        <v>869397771</v>
      </c>
      <c r="I76" s="3">
        <v>42111</v>
      </c>
      <c r="J76">
        <v>2975</v>
      </c>
      <c r="K76">
        <v>421.89</v>
      </c>
      <c r="L76">
        <v>364.69</v>
      </c>
      <c r="M76">
        <f t="shared" si="9"/>
        <v>1255122.75</v>
      </c>
      <c r="N76">
        <f t="shared" si="10"/>
        <v>1084952.75</v>
      </c>
      <c r="O76">
        <f t="shared" si="11"/>
        <v>170170</v>
      </c>
      <c r="P76" s="6">
        <f t="shared" si="12"/>
        <v>0.13558036455000119</v>
      </c>
      <c r="Q76">
        <f t="shared" si="13"/>
        <v>28</v>
      </c>
      <c r="R76">
        <f t="shared" si="14"/>
        <v>2015</v>
      </c>
      <c r="S76" t="str">
        <f t="shared" si="15"/>
        <v>March</v>
      </c>
      <c r="T76">
        <f t="shared" si="16"/>
        <v>3</v>
      </c>
      <c r="U76" t="str">
        <f t="shared" si="17"/>
        <v>Medium Profit</v>
      </c>
    </row>
    <row r="77" spans="1:21" x14ac:dyDescent="0.35">
      <c r="A77" s="5" t="s">
        <v>19</v>
      </c>
      <c r="B77" s="5" t="s">
        <v>176</v>
      </c>
      <c r="C77" t="s">
        <v>83</v>
      </c>
      <c r="D77" t="s">
        <v>177</v>
      </c>
      <c r="E77" t="s">
        <v>23</v>
      </c>
      <c r="F77" t="s">
        <v>66</v>
      </c>
      <c r="G77" s="3">
        <v>41035</v>
      </c>
      <c r="H77">
        <v>481065833</v>
      </c>
      <c r="I77" s="3">
        <v>41037</v>
      </c>
      <c r="J77">
        <v>6925</v>
      </c>
      <c r="K77">
        <v>81.73</v>
      </c>
      <c r="L77">
        <v>56.67</v>
      </c>
      <c r="M77">
        <f t="shared" si="9"/>
        <v>565980.25</v>
      </c>
      <c r="N77">
        <f t="shared" si="10"/>
        <v>392439.75</v>
      </c>
      <c r="O77">
        <f t="shared" si="11"/>
        <v>173540.5</v>
      </c>
      <c r="P77" s="6">
        <f t="shared" si="12"/>
        <v>0.30661935641747218</v>
      </c>
      <c r="Q77">
        <f t="shared" si="13"/>
        <v>2</v>
      </c>
      <c r="R77">
        <f t="shared" si="14"/>
        <v>2012</v>
      </c>
      <c r="S77" t="str">
        <f t="shared" si="15"/>
        <v>May</v>
      </c>
      <c r="T77">
        <f t="shared" si="16"/>
        <v>5</v>
      </c>
      <c r="U77" t="str">
        <f t="shared" si="17"/>
        <v>Medium Profit</v>
      </c>
    </row>
    <row r="78" spans="1:21" x14ac:dyDescent="0.35">
      <c r="A78" s="5" t="s">
        <v>37</v>
      </c>
      <c r="B78" s="5" t="s">
        <v>178</v>
      </c>
      <c r="C78" t="s">
        <v>92</v>
      </c>
      <c r="D78" t="s">
        <v>179</v>
      </c>
      <c r="E78" t="s">
        <v>29</v>
      </c>
      <c r="F78" t="s">
        <v>32</v>
      </c>
      <c r="G78" s="3">
        <v>41547</v>
      </c>
      <c r="H78">
        <v>159050118</v>
      </c>
      <c r="I78" s="3">
        <v>41548</v>
      </c>
      <c r="J78">
        <v>5319</v>
      </c>
      <c r="K78">
        <v>421.89</v>
      </c>
      <c r="L78">
        <v>364.69</v>
      </c>
      <c r="M78">
        <f t="shared" si="9"/>
        <v>2244032.91</v>
      </c>
      <c r="N78">
        <f t="shared" si="10"/>
        <v>1939786.11</v>
      </c>
      <c r="O78">
        <f t="shared" si="11"/>
        <v>304246.80000000005</v>
      </c>
      <c r="P78" s="6">
        <f t="shared" si="12"/>
        <v>0.13558036455000119</v>
      </c>
      <c r="Q78">
        <f t="shared" si="13"/>
        <v>1</v>
      </c>
      <c r="R78">
        <f t="shared" si="14"/>
        <v>2013</v>
      </c>
      <c r="S78" t="str">
        <f t="shared" si="15"/>
        <v>September</v>
      </c>
      <c r="T78">
        <f t="shared" si="16"/>
        <v>9</v>
      </c>
      <c r="U78" t="str">
        <f t="shared" si="17"/>
        <v>Medium Profit</v>
      </c>
    </row>
    <row r="79" spans="1:21" x14ac:dyDescent="0.35">
      <c r="A79" s="5" t="s">
        <v>42</v>
      </c>
      <c r="B79" s="5" t="s">
        <v>180</v>
      </c>
      <c r="C79" t="s">
        <v>69</v>
      </c>
      <c r="D79" t="s">
        <v>181</v>
      </c>
      <c r="E79" t="s">
        <v>29</v>
      </c>
      <c r="F79" t="s">
        <v>24</v>
      </c>
      <c r="G79" s="3">
        <v>41779</v>
      </c>
      <c r="H79">
        <v>350274455</v>
      </c>
      <c r="I79" s="3">
        <v>41804</v>
      </c>
      <c r="J79">
        <v>2850</v>
      </c>
      <c r="K79">
        <v>651.21</v>
      </c>
      <c r="L79">
        <v>524.96</v>
      </c>
      <c r="M79">
        <f t="shared" si="9"/>
        <v>1855948.5</v>
      </c>
      <c r="N79">
        <f t="shared" si="10"/>
        <v>1496136</v>
      </c>
      <c r="O79">
        <f t="shared" si="11"/>
        <v>359812.5</v>
      </c>
      <c r="P79" s="6">
        <f t="shared" si="12"/>
        <v>0.19386987300563566</v>
      </c>
      <c r="Q79">
        <f t="shared" si="13"/>
        <v>25</v>
      </c>
      <c r="R79">
        <f t="shared" si="14"/>
        <v>2014</v>
      </c>
      <c r="S79" t="str">
        <f t="shared" si="15"/>
        <v>May</v>
      </c>
      <c r="T79">
        <f t="shared" si="16"/>
        <v>5</v>
      </c>
      <c r="U79" t="str">
        <f t="shared" si="17"/>
        <v>Medium Profit</v>
      </c>
    </row>
    <row r="80" spans="1:21" x14ac:dyDescent="0.35">
      <c r="A80" s="5" t="s">
        <v>19</v>
      </c>
      <c r="B80" s="5" t="s">
        <v>182</v>
      </c>
      <c r="C80" t="s">
        <v>35</v>
      </c>
      <c r="D80" t="s">
        <v>183</v>
      </c>
      <c r="E80" t="s">
        <v>29</v>
      </c>
      <c r="F80" t="s">
        <v>66</v>
      </c>
      <c r="G80" s="3">
        <v>40277</v>
      </c>
      <c r="H80">
        <v>221975171</v>
      </c>
      <c r="I80" s="3">
        <v>40315</v>
      </c>
      <c r="J80">
        <v>6241</v>
      </c>
      <c r="K80">
        <v>205.7</v>
      </c>
      <c r="L80">
        <v>117.11</v>
      </c>
      <c r="M80">
        <f t="shared" si="9"/>
        <v>1283773.7</v>
      </c>
      <c r="N80">
        <f t="shared" si="10"/>
        <v>730883.51</v>
      </c>
      <c r="O80">
        <f t="shared" si="11"/>
        <v>552890.18999999994</v>
      </c>
      <c r="P80" s="6">
        <f t="shared" si="12"/>
        <v>0.43067574137092851</v>
      </c>
      <c r="Q80">
        <f t="shared" si="13"/>
        <v>38</v>
      </c>
      <c r="R80">
        <f t="shared" si="14"/>
        <v>2010</v>
      </c>
      <c r="S80" t="str">
        <f t="shared" si="15"/>
        <v>April</v>
      </c>
      <c r="T80">
        <f t="shared" si="16"/>
        <v>4</v>
      </c>
      <c r="U80" t="str">
        <f t="shared" si="17"/>
        <v>High Profit</v>
      </c>
    </row>
    <row r="81" spans="1:21" x14ac:dyDescent="0.35">
      <c r="A81" s="5" t="s">
        <v>25</v>
      </c>
      <c r="B81" s="5" t="s">
        <v>184</v>
      </c>
      <c r="C81" t="s">
        <v>69</v>
      </c>
      <c r="D81" t="s">
        <v>185</v>
      </c>
      <c r="E81" t="s">
        <v>29</v>
      </c>
      <c r="F81" t="s">
        <v>32</v>
      </c>
      <c r="G81" s="3">
        <v>42895</v>
      </c>
      <c r="H81">
        <v>811701095</v>
      </c>
      <c r="I81" s="3">
        <v>42935</v>
      </c>
      <c r="J81">
        <v>9247</v>
      </c>
      <c r="K81">
        <v>651.21</v>
      </c>
      <c r="L81">
        <v>524.96</v>
      </c>
      <c r="M81">
        <f t="shared" si="9"/>
        <v>6021738.8700000001</v>
      </c>
      <c r="N81">
        <f t="shared" si="10"/>
        <v>4854305.12</v>
      </c>
      <c r="O81">
        <f t="shared" si="11"/>
        <v>1167433.75</v>
      </c>
      <c r="P81" s="6">
        <f t="shared" si="12"/>
        <v>0.19386987300563566</v>
      </c>
      <c r="Q81">
        <f t="shared" si="13"/>
        <v>40</v>
      </c>
      <c r="R81">
        <f t="shared" si="14"/>
        <v>2017</v>
      </c>
      <c r="S81" t="str">
        <f t="shared" si="15"/>
        <v>June</v>
      </c>
      <c r="T81">
        <f t="shared" si="16"/>
        <v>6</v>
      </c>
      <c r="U81" t="str">
        <f t="shared" si="17"/>
        <v>High Profit</v>
      </c>
    </row>
    <row r="82" spans="1:21" x14ac:dyDescent="0.35">
      <c r="A82" s="5" t="s">
        <v>37</v>
      </c>
      <c r="B82" s="5" t="s">
        <v>186</v>
      </c>
      <c r="C82" t="s">
        <v>35</v>
      </c>
      <c r="D82" t="s">
        <v>187</v>
      </c>
      <c r="E82" t="s">
        <v>29</v>
      </c>
      <c r="F82" t="s">
        <v>66</v>
      </c>
      <c r="G82" s="3">
        <v>42043</v>
      </c>
      <c r="H82">
        <v>977313554</v>
      </c>
      <c r="I82" s="3">
        <v>42092</v>
      </c>
      <c r="J82">
        <v>7653</v>
      </c>
      <c r="K82">
        <v>205.7</v>
      </c>
      <c r="L82">
        <v>117.11</v>
      </c>
      <c r="M82">
        <f t="shared" si="9"/>
        <v>1574222.0999999999</v>
      </c>
      <c r="N82">
        <f t="shared" si="10"/>
        <v>896242.83</v>
      </c>
      <c r="O82">
        <f t="shared" si="11"/>
        <v>677979.2699999999</v>
      </c>
      <c r="P82" s="6">
        <f t="shared" si="12"/>
        <v>0.43067574137092851</v>
      </c>
      <c r="Q82">
        <f t="shared" si="13"/>
        <v>49</v>
      </c>
      <c r="R82">
        <f t="shared" si="14"/>
        <v>2015</v>
      </c>
      <c r="S82" t="str">
        <f t="shared" si="15"/>
        <v>February</v>
      </c>
      <c r="T82">
        <f t="shared" si="16"/>
        <v>2</v>
      </c>
      <c r="U82" t="str">
        <f t="shared" si="17"/>
        <v>High Profit</v>
      </c>
    </row>
    <row r="83" spans="1:21" x14ac:dyDescent="0.35">
      <c r="A83" s="5" t="s">
        <v>37</v>
      </c>
      <c r="B83" s="5" t="s">
        <v>45</v>
      </c>
      <c r="C83" t="s">
        <v>58</v>
      </c>
      <c r="D83" t="s">
        <v>188</v>
      </c>
      <c r="E83" t="s">
        <v>23</v>
      </c>
      <c r="F83" t="s">
        <v>66</v>
      </c>
      <c r="G83" s="3">
        <v>40203</v>
      </c>
      <c r="H83">
        <v>546986377</v>
      </c>
      <c r="I83" s="3">
        <v>40219</v>
      </c>
      <c r="J83">
        <v>4279</v>
      </c>
      <c r="K83">
        <v>152.58000000000001</v>
      </c>
      <c r="L83">
        <v>97.44</v>
      </c>
      <c r="M83">
        <f t="shared" si="9"/>
        <v>652889.82000000007</v>
      </c>
      <c r="N83">
        <f t="shared" si="10"/>
        <v>416945.76</v>
      </c>
      <c r="O83">
        <f t="shared" si="11"/>
        <v>235944.06000000006</v>
      </c>
      <c r="P83" s="6">
        <f t="shared" si="12"/>
        <v>0.36138419189933157</v>
      </c>
      <c r="Q83">
        <f t="shared" si="13"/>
        <v>16</v>
      </c>
      <c r="R83">
        <f t="shared" si="14"/>
        <v>2010</v>
      </c>
      <c r="S83" t="str">
        <f t="shared" si="15"/>
        <v>January</v>
      </c>
      <c r="T83">
        <f t="shared" si="16"/>
        <v>1</v>
      </c>
      <c r="U83" t="str">
        <f t="shared" si="17"/>
        <v>Medium Profit</v>
      </c>
    </row>
    <row r="84" spans="1:21" x14ac:dyDescent="0.35">
      <c r="A84" s="5" t="s">
        <v>33</v>
      </c>
      <c r="B84" s="5" t="s">
        <v>189</v>
      </c>
      <c r="C84" t="s">
        <v>39</v>
      </c>
      <c r="D84" t="s">
        <v>190</v>
      </c>
      <c r="E84" t="s">
        <v>23</v>
      </c>
      <c r="F84" t="s">
        <v>66</v>
      </c>
      <c r="G84" s="3">
        <v>40244</v>
      </c>
      <c r="H84">
        <v>769205892</v>
      </c>
      <c r="I84" s="3">
        <v>40254</v>
      </c>
      <c r="J84">
        <v>3972</v>
      </c>
      <c r="K84">
        <v>9.33</v>
      </c>
      <c r="L84">
        <v>6.92</v>
      </c>
      <c r="M84">
        <f t="shared" si="9"/>
        <v>37058.76</v>
      </c>
      <c r="N84">
        <f t="shared" si="10"/>
        <v>27486.239999999998</v>
      </c>
      <c r="O84">
        <f t="shared" si="11"/>
        <v>9572.5200000000041</v>
      </c>
      <c r="P84" s="6">
        <f t="shared" si="12"/>
        <v>0.25830653804930342</v>
      </c>
      <c r="Q84">
        <f t="shared" si="13"/>
        <v>10</v>
      </c>
      <c r="R84">
        <f t="shared" si="14"/>
        <v>2010</v>
      </c>
      <c r="S84" t="str">
        <f t="shared" si="15"/>
        <v>March</v>
      </c>
      <c r="T84">
        <f t="shared" si="16"/>
        <v>3</v>
      </c>
      <c r="U84" t="str">
        <f t="shared" si="17"/>
        <v>Low Profit</v>
      </c>
    </row>
    <row r="85" spans="1:21" x14ac:dyDescent="0.35">
      <c r="A85" s="5" t="s">
        <v>37</v>
      </c>
      <c r="B85" s="5" t="s">
        <v>191</v>
      </c>
      <c r="C85" t="s">
        <v>48</v>
      </c>
      <c r="D85" t="s">
        <v>192</v>
      </c>
      <c r="E85" t="s">
        <v>23</v>
      </c>
      <c r="F85" t="s">
        <v>24</v>
      </c>
      <c r="G85" s="3">
        <v>41277</v>
      </c>
      <c r="H85">
        <v>262770926</v>
      </c>
      <c r="I85" s="3">
        <v>41313</v>
      </c>
      <c r="J85">
        <v>8611</v>
      </c>
      <c r="K85">
        <v>109.28</v>
      </c>
      <c r="L85">
        <v>35.840000000000003</v>
      </c>
      <c r="M85">
        <f t="shared" si="9"/>
        <v>941010.08</v>
      </c>
      <c r="N85">
        <f t="shared" si="10"/>
        <v>308618.24000000005</v>
      </c>
      <c r="O85">
        <f t="shared" si="11"/>
        <v>632391.83999999985</v>
      </c>
      <c r="P85" s="6">
        <f t="shared" si="12"/>
        <v>0.67203513909224</v>
      </c>
      <c r="Q85">
        <f t="shared" si="13"/>
        <v>36</v>
      </c>
      <c r="R85">
        <f t="shared" si="14"/>
        <v>2013</v>
      </c>
      <c r="S85" t="str">
        <f t="shared" si="15"/>
        <v>January</v>
      </c>
      <c r="T85">
        <f t="shared" si="16"/>
        <v>1</v>
      </c>
      <c r="U85" t="str">
        <f t="shared" si="17"/>
        <v>High Profit</v>
      </c>
    </row>
    <row r="86" spans="1:21" x14ac:dyDescent="0.35">
      <c r="A86" s="5" t="s">
        <v>37</v>
      </c>
      <c r="B86" s="5" t="s">
        <v>193</v>
      </c>
      <c r="C86" t="s">
        <v>58</v>
      </c>
      <c r="D86" t="s">
        <v>194</v>
      </c>
      <c r="E86" t="s">
        <v>29</v>
      </c>
      <c r="F86" t="s">
        <v>24</v>
      </c>
      <c r="G86" s="3">
        <v>42800</v>
      </c>
      <c r="H86">
        <v>866792809</v>
      </c>
      <c r="I86" s="3">
        <v>42812</v>
      </c>
      <c r="J86">
        <v>2109</v>
      </c>
      <c r="K86">
        <v>152.58000000000001</v>
      </c>
      <c r="L86">
        <v>97.44</v>
      </c>
      <c r="M86">
        <f t="shared" si="9"/>
        <v>321791.22000000003</v>
      </c>
      <c r="N86">
        <f t="shared" si="10"/>
        <v>205500.96</v>
      </c>
      <c r="O86">
        <f t="shared" si="11"/>
        <v>116290.26000000004</v>
      </c>
      <c r="P86" s="6">
        <f t="shared" si="12"/>
        <v>0.36138419189933157</v>
      </c>
      <c r="Q86">
        <f t="shared" si="13"/>
        <v>12</v>
      </c>
      <c r="R86">
        <f t="shared" si="14"/>
        <v>2017</v>
      </c>
      <c r="S86" t="str">
        <f t="shared" si="15"/>
        <v>March</v>
      </c>
      <c r="T86">
        <f t="shared" si="16"/>
        <v>3</v>
      </c>
      <c r="U86" t="str">
        <f t="shared" si="17"/>
        <v>Medium Profit</v>
      </c>
    </row>
    <row r="87" spans="1:21" x14ac:dyDescent="0.35">
      <c r="A87" s="5" t="s">
        <v>50</v>
      </c>
      <c r="B87" s="5" t="s">
        <v>195</v>
      </c>
      <c r="C87" t="s">
        <v>72</v>
      </c>
      <c r="D87" t="s">
        <v>196</v>
      </c>
      <c r="E87" t="s">
        <v>23</v>
      </c>
      <c r="F87" t="s">
        <v>32</v>
      </c>
      <c r="G87" s="3">
        <v>40552</v>
      </c>
      <c r="H87">
        <v>890695369</v>
      </c>
      <c r="I87" s="3">
        <v>40597</v>
      </c>
      <c r="J87">
        <v>5408</v>
      </c>
      <c r="K87">
        <v>47.45</v>
      </c>
      <c r="L87">
        <v>31.79</v>
      </c>
      <c r="M87">
        <f t="shared" si="9"/>
        <v>256609.6</v>
      </c>
      <c r="N87">
        <f t="shared" si="10"/>
        <v>171920.32</v>
      </c>
      <c r="O87">
        <f t="shared" si="11"/>
        <v>84689.279999999999</v>
      </c>
      <c r="P87" s="6">
        <f t="shared" si="12"/>
        <v>0.33003161222339306</v>
      </c>
      <c r="Q87">
        <f t="shared" si="13"/>
        <v>45</v>
      </c>
      <c r="R87">
        <f t="shared" si="14"/>
        <v>2011</v>
      </c>
      <c r="S87" t="str">
        <f t="shared" si="15"/>
        <v>January</v>
      </c>
      <c r="T87">
        <f t="shared" si="16"/>
        <v>1</v>
      </c>
      <c r="U87" t="str">
        <f t="shared" si="17"/>
        <v>Low Profit</v>
      </c>
    </row>
    <row r="88" spans="1:21" x14ac:dyDescent="0.35">
      <c r="A88" s="5" t="s">
        <v>19</v>
      </c>
      <c r="B88" s="5" t="s">
        <v>20</v>
      </c>
      <c r="C88" t="s">
        <v>35</v>
      </c>
      <c r="D88" t="s">
        <v>197</v>
      </c>
      <c r="E88" t="s">
        <v>23</v>
      </c>
      <c r="F88" t="s">
        <v>24</v>
      </c>
      <c r="G88" s="3">
        <v>41725</v>
      </c>
      <c r="H88">
        <v>964214932</v>
      </c>
      <c r="I88" s="3">
        <v>41729</v>
      </c>
      <c r="J88">
        <v>1480</v>
      </c>
      <c r="K88">
        <v>205.7</v>
      </c>
      <c r="L88">
        <v>117.11</v>
      </c>
      <c r="M88">
        <f t="shared" si="9"/>
        <v>304436</v>
      </c>
      <c r="N88">
        <f t="shared" si="10"/>
        <v>173322.8</v>
      </c>
      <c r="O88">
        <f t="shared" si="11"/>
        <v>131113.20000000001</v>
      </c>
      <c r="P88" s="6">
        <f t="shared" si="12"/>
        <v>0.43067574137092857</v>
      </c>
      <c r="Q88">
        <f t="shared" si="13"/>
        <v>4</v>
      </c>
      <c r="R88">
        <f t="shared" si="14"/>
        <v>2014</v>
      </c>
      <c r="S88" t="str">
        <f t="shared" si="15"/>
        <v>March</v>
      </c>
      <c r="T88">
        <f t="shared" si="16"/>
        <v>3</v>
      </c>
      <c r="U88" t="str">
        <f t="shared" si="17"/>
        <v>Medium Profit</v>
      </c>
    </row>
    <row r="89" spans="1:21" x14ac:dyDescent="0.35">
      <c r="A89" s="5" t="s">
        <v>42</v>
      </c>
      <c r="B89" s="5" t="s">
        <v>198</v>
      </c>
      <c r="C89" t="s">
        <v>58</v>
      </c>
      <c r="D89" t="s">
        <v>199</v>
      </c>
      <c r="E89" t="s">
        <v>29</v>
      </c>
      <c r="F89" t="s">
        <v>32</v>
      </c>
      <c r="G89" s="3">
        <v>41453</v>
      </c>
      <c r="H89">
        <v>887400329</v>
      </c>
      <c r="I89" s="3">
        <v>41503</v>
      </c>
      <c r="J89">
        <v>332</v>
      </c>
      <c r="K89">
        <v>152.58000000000001</v>
      </c>
      <c r="L89">
        <v>97.44</v>
      </c>
      <c r="M89">
        <f t="shared" si="9"/>
        <v>50656.560000000005</v>
      </c>
      <c r="N89">
        <f t="shared" si="10"/>
        <v>32350.079999999998</v>
      </c>
      <c r="O89">
        <f t="shared" si="11"/>
        <v>18306.480000000007</v>
      </c>
      <c r="P89" s="6">
        <f t="shared" si="12"/>
        <v>0.36138419189933157</v>
      </c>
      <c r="Q89">
        <f t="shared" si="13"/>
        <v>50</v>
      </c>
      <c r="R89">
        <f t="shared" si="14"/>
        <v>2013</v>
      </c>
      <c r="S89" t="str">
        <f t="shared" si="15"/>
        <v>June</v>
      </c>
      <c r="T89">
        <f t="shared" si="16"/>
        <v>6</v>
      </c>
      <c r="U89" t="str">
        <f t="shared" si="17"/>
        <v>Low Profit</v>
      </c>
    </row>
    <row r="90" spans="1:21" x14ac:dyDescent="0.35">
      <c r="A90" s="5" t="s">
        <v>42</v>
      </c>
      <c r="B90" s="5" t="s">
        <v>47</v>
      </c>
      <c r="C90" t="s">
        <v>72</v>
      </c>
      <c r="D90" t="s">
        <v>200</v>
      </c>
      <c r="E90" t="s">
        <v>23</v>
      </c>
      <c r="F90" t="s">
        <v>24</v>
      </c>
      <c r="G90" s="3">
        <v>40790</v>
      </c>
      <c r="H90">
        <v>980612885</v>
      </c>
      <c r="I90" s="3">
        <v>40790</v>
      </c>
      <c r="J90">
        <v>3999</v>
      </c>
      <c r="K90">
        <v>47.45</v>
      </c>
      <c r="L90">
        <v>31.79</v>
      </c>
      <c r="M90">
        <f t="shared" si="9"/>
        <v>189752.55000000002</v>
      </c>
      <c r="N90">
        <f t="shared" si="10"/>
        <v>127128.20999999999</v>
      </c>
      <c r="O90">
        <f t="shared" si="11"/>
        <v>62624.340000000026</v>
      </c>
      <c r="P90" s="6">
        <f t="shared" si="12"/>
        <v>0.33003161222339317</v>
      </c>
      <c r="Q90">
        <f t="shared" si="13"/>
        <v>0</v>
      </c>
      <c r="R90">
        <f t="shared" si="14"/>
        <v>2011</v>
      </c>
      <c r="S90" t="str">
        <f t="shared" si="15"/>
        <v>September</v>
      </c>
      <c r="T90">
        <f t="shared" si="16"/>
        <v>9</v>
      </c>
      <c r="U90" t="str">
        <f t="shared" si="17"/>
        <v>Low Profit</v>
      </c>
    </row>
    <row r="91" spans="1:21" x14ac:dyDescent="0.35">
      <c r="A91" s="5" t="s">
        <v>42</v>
      </c>
      <c r="B91" s="5" t="s">
        <v>47</v>
      </c>
      <c r="C91" t="s">
        <v>48</v>
      </c>
      <c r="D91" t="s">
        <v>201</v>
      </c>
      <c r="E91" t="s">
        <v>23</v>
      </c>
      <c r="F91" t="s">
        <v>24</v>
      </c>
      <c r="G91" s="3">
        <v>42565</v>
      </c>
      <c r="H91">
        <v>734526431</v>
      </c>
      <c r="I91" s="3">
        <v>42584</v>
      </c>
      <c r="J91">
        <v>1549</v>
      </c>
      <c r="K91">
        <v>109.28</v>
      </c>
      <c r="L91">
        <v>35.840000000000003</v>
      </c>
      <c r="M91">
        <f t="shared" si="9"/>
        <v>169274.72</v>
      </c>
      <c r="N91">
        <f t="shared" si="10"/>
        <v>55516.160000000003</v>
      </c>
      <c r="O91">
        <f t="shared" si="11"/>
        <v>113758.56</v>
      </c>
      <c r="P91" s="6">
        <f t="shared" si="12"/>
        <v>0.67203513909224011</v>
      </c>
      <c r="Q91">
        <f t="shared" si="13"/>
        <v>19</v>
      </c>
      <c r="R91">
        <f t="shared" si="14"/>
        <v>2016</v>
      </c>
      <c r="S91" t="str">
        <f t="shared" si="15"/>
        <v>July</v>
      </c>
      <c r="T91">
        <f t="shared" si="16"/>
        <v>7</v>
      </c>
      <c r="U91" t="str">
        <f t="shared" si="17"/>
        <v>Medium Profit</v>
      </c>
    </row>
    <row r="92" spans="1:21" x14ac:dyDescent="0.35">
      <c r="A92" s="5" t="s">
        <v>33</v>
      </c>
      <c r="B92" s="5" t="s">
        <v>202</v>
      </c>
      <c r="C92" t="s">
        <v>30</v>
      </c>
      <c r="D92" t="s">
        <v>203</v>
      </c>
      <c r="E92" t="s">
        <v>29</v>
      </c>
      <c r="F92" t="s">
        <v>66</v>
      </c>
      <c r="G92" s="3">
        <v>41693</v>
      </c>
      <c r="H92">
        <v>160127294</v>
      </c>
      <c r="I92" s="3">
        <v>41721</v>
      </c>
      <c r="J92">
        <v>4079</v>
      </c>
      <c r="K92">
        <v>255.28</v>
      </c>
      <c r="L92">
        <v>159.41999999999999</v>
      </c>
      <c r="M92">
        <f t="shared" si="9"/>
        <v>1041287.12</v>
      </c>
      <c r="N92">
        <f t="shared" si="10"/>
        <v>650274.17999999993</v>
      </c>
      <c r="O92">
        <f t="shared" si="11"/>
        <v>391012.94000000006</v>
      </c>
      <c r="P92" s="6">
        <f t="shared" si="12"/>
        <v>0.37550924475086184</v>
      </c>
      <c r="Q92">
        <f t="shared" si="13"/>
        <v>28</v>
      </c>
      <c r="R92">
        <f t="shared" si="14"/>
        <v>2014</v>
      </c>
      <c r="S92" t="str">
        <f t="shared" si="15"/>
        <v>February</v>
      </c>
      <c r="T92">
        <f t="shared" si="16"/>
        <v>2</v>
      </c>
      <c r="U92" t="str">
        <f t="shared" si="17"/>
        <v>Medium Profit</v>
      </c>
    </row>
    <row r="93" spans="1:21" x14ac:dyDescent="0.35">
      <c r="A93" s="5" t="s">
        <v>50</v>
      </c>
      <c r="B93" s="5" t="s">
        <v>204</v>
      </c>
      <c r="C93" t="s">
        <v>48</v>
      </c>
      <c r="D93" t="s">
        <v>205</v>
      </c>
      <c r="E93" t="s">
        <v>23</v>
      </c>
      <c r="F93" t="s">
        <v>66</v>
      </c>
      <c r="G93" s="3">
        <v>40397</v>
      </c>
      <c r="H93">
        <v>238714301</v>
      </c>
      <c r="I93" s="3">
        <v>40434</v>
      </c>
      <c r="J93">
        <v>9721</v>
      </c>
      <c r="K93">
        <v>109.28</v>
      </c>
      <c r="L93">
        <v>35.840000000000003</v>
      </c>
      <c r="M93">
        <f t="shared" si="9"/>
        <v>1062310.8800000001</v>
      </c>
      <c r="N93">
        <f t="shared" si="10"/>
        <v>348400.64000000001</v>
      </c>
      <c r="O93">
        <f t="shared" si="11"/>
        <v>713910.24000000011</v>
      </c>
      <c r="P93" s="6">
        <f t="shared" si="12"/>
        <v>0.67203513909224011</v>
      </c>
      <c r="Q93">
        <f t="shared" si="13"/>
        <v>37</v>
      </c>
      <c r="R93">
        <f t="shared" si="14"/>
        <v>2010</v>
      </c>
      <c r="S93" t="str">
        <f t="shared" si="15"/>
        <v>August</v>
      </c>
      <c r="T93">
        <f t="shared" si="16"/>
        <v>8</v>
      </c>
      <c r="U93" t="str">
        <f t="shared" si="17"/>
        <v>High Profit</v>
      </c>
    </row>
    <row r="94" spans="1:21" x14ac:dyDescent="0.35">
      <c r="A94" s="5" t="s">
        <v>53</v>
      </c>
      <c r="B94" s="5" t="s">
        <v>206</v>
      </c>
      <c r="C94" t="s">
        <v>60</v>
      </c>
      <c r="D94" t="s">
        <v>207</v>
      </c>
      <c r="E94" t="s">
        <v>29</v>
      </c>
      <c r="F94" t="s">
        <v>24</v>
      </c>
      <c r="G94" s="3">
        <v>41288</v>
      </c>
      <c r="H94">
        <v>671898782</v>
      </c>
      <c r="I94" s="3">
        <v>41311</v>
      </c>
      <c r="J94">
        <v>8635</v>
      </c>
      <c r="K94">
        <v>668.27</v>
      </c>
      <c r="L94">
        <v>502.54</v>
      </c>
      <c r="M94">
        <f t="shared" si="9"/>
        <v>5770511.4500000002</v>
      </c>
      <c r="N94">
        <f t="shared" si="10"/>
        <v>4339432.9000000004</v>
      </c>
      <c r="O94">
        <f t="shared" si="11"/>
        <v>1431078.5499999998</v>
      </c>
      <c r="P94" s="6">
        <f t="shared" si="12"/>
        <v>0.24799856345489094</v>
      </c>
      <c r="Q94">
        <f t="shared" si="13"/>
        <v>23</v>
      </c>
      <c r="R94">
        <f t="shared" si="14"/>
        <v>2013</v>
      </c>
      <c r="S94" t="str">
        <f t="shared" si="15"/>
        <v>January</v>
      </c>
      <c r="T94">
        <f t="shared" si="16"/>
        <v>1</v>
      </c>
      <c r="U94" t="str">
        <f t="shared" si="17"/>
        <v>High Profit</v>
      </c>
    </row>
    <row r="95" spans="1:21" x14ac:dyDescent="0.35">
      <c r="A95" s="5" t="s">
        <v>37</v>
      </c>
      <c r="B95" s="5" t="s">
        <v>208</v>
      </c>
      <c r="C95" t="s">
        <v>83</v>
      </c>
      <c r="D95" t="s">
        <v>209</v>
      </c>
      <c r="E95" t="s">
        <v>23</v>
      </c>
      <c r="F95" t="s">
        <v>41</v>
      </c>
      <c r="G95" s="3">
        <v>40451</v>
      </c>
      <c r="H95">
        <v>331604564</v>
      </c>
      <c r="I95" s="3">
        <v>40499</v>
      </c>
      <c r="J95">
        <v>8014</v>
      </c>
      <c r="K95">
        <v>81.73</v>
      </c>
      <c r="L95">
        <v>56.67</v>
      </c>
      <c r="M95">
        <f t="shared" si="9"/>
        <v>654984.22000000009</v>
      </c>
      <c r="N95">
        <f t="shared" si="10"/>
        <v>454153.38</v>
      </c>
      <c r="O95">
        <f t="shared" si="11"/>
        <v>200830.84000000008</v>
      </c>
      <c r="P95" s="6">
        <f t="shared" si="12"/>
        <v>0.30661935641747223</v>
      </c>
      <c r="Q95">
        <f t="shared" si="13"/>
        <v>48</v>
      </c>
      <c r="R95">
        <f t="shared" si="14"/>
        <v>2010</v>
      </c>
      <c r="S95" t="str">
        <f t="shared" si="15"/>
        <v>September</v>
      </c>
      <c r="T95">
        <f t="shared" si="16"/>
        <v>9</v>
      </c>
      <c r="U95" t="str">
        <f t="shared" si="17"/>
        <v>Medium Profit</v>
      </c>
    </row>
    <row r="96" spans="1:21" x14ac:dyDescent="0.35">
      <c r="A96" s="5" t="s">
        <v>19</v>
      </c>
      <c r="B96" s="5" t="s">
        <v>210</v>
      </c>
      <c r="C96" t="s">
        <v>35</v>
      </c>
      <c r="D96" t="s">
        <v>211</v>
      </c>
      <c r="E96" t="s">
        <v>29</v>
      </c>
      <c r="F96" t="s">
        <v>24</v>
      </c>
      <c r="G96" s="3">
        <v>42656</v>
      </c>
      <c r="H96">
        <v>410067975</v>
      </c>
      <c r="I96" s="3">
        <v>42694</v>
      </c>
      <c r="J96">
        <v>7081</v>
      </c>
      <c r="K96">
        <v>205.7</v>
      </c>
      <c r="L96">
        <v>117.11</v>
      </c>
      <c r="M96">
        <f t="shared" si="9"/>
        <v>1456561.7</v>
      </c>
      <c r="N96">
        <f t="shared" si="10"/>
        <v>829255.91</v>
      </c>
      <c r="O96">
        <f t="shared" si="11"/>
        <v>627305.78999999992</v>
      </c>
      <c r="P96" s="6">
        <f t="shared" si="12"/>
        <v>0.43067574137092851</v>
      </c>
      <c r="Q96">
        <f t="shared" si="13"/>
        <v>38</v>
      </c>
      <c r="R96">
        <f t="shared" si="14"/>
        <v>2016</v>
      </c>
      <c r="S96" t="str">
        <f t="shared" si="15"/>
        <v>October</v>
      </c>
      <c r="T96">
        <f t="shared" si="16"/>
        <v>10</v>
      </c>
      <c r="U96" t="str">
        <f t="shared" si="17"/>
        <v>High Profit</v>
      </c>
    </row>
    <row r="97" spans="1:21" x14ac:dyDescent="0.35">
      <c r="A97" s="5" t="s">
        <v>53</v>
      </c>
      <c r="B97" s="5" t="s">
        <v>212</v>
      </c>
      <c r="C97" t="s">
        <v>58</v>
      </c>
      <c r="D97" t="s">
        <v>213</v>
      </c>
      <c r="E97" t="s">
        <v>23</v>
      </c>
      <c r="F97" t="s">
        <v>66</v>
      </c>
      <c r="G97" s="3">
        <v>40618</v>
      </c>
      <c r="H97">
        <v>369837844</v>
      </c>
      <c r="I97" s="3">
        <v>40625</v>
      </c>
      <c r="J97">
        <v>2091</v>
      </c>
      <c r="K97">
        <v>152.58000000000001</v>
      </c>
      <c r="L97">
        <v>97.44</v>
      </c>
      <c r="M97">
        <f t="shared" si="9"/>
        <v>319044.78000000003</v>
      </c>
      <c r="N97">
        <f t="shared" si="10"/>
        <v>203747.04</v>
      </c>
      <c r="O97">
        <f t="shared" si="11"/>
        <v>115297.74000000002</v>
      </c>
      <c r="P97" s="6">
        <f t="shared" si="12"/>
        <v>0.36138419189933152</v>
      </c>
      <c r="Q97">
        <f t="shared" si="13"/>
        <v>7</v>
      </c>
      <c r="R97">
        <f t="shared" si="14"/>
        <v>2011</v>
      </c>
      <c r="S97" t="str">
        <f t="shared" si="15"/>
        <v>March</v>
      </c>
      <c r="T97">
        <f t="shared" si="16"/>
        <v>3</v>
      </c>
      <c r="U97" t="str">
        <f t="shared" si="17"/>
        <v>Medium Profit</v>
      </c>
    </row>
    <row r="98" spans="1:21" x14ac:dyDescent="0.35">
      <c r="A98" s="5" t="s">
        <v>37</v>
      </c>
      <c r="B98" s="5" t="s">
        <v>62</v>
      </c>
      <c r="C98" t="s">
        <v>39</v>
      </c>
      <c r="D98" t="s">
        <v>214</v>
      </c>
      <c r="E98" t="s">
        <v>29</v>
      </c>
      <c r="F98" t="s">
        <v>66</v>
      </c>
      <c r="G98" s="3">
        <v>41269</v>
      </c>
      <c r="H98">
        <v>193775498</v>
      </c>
      <c r="I98" s="3">
        <v>41305</v>
      </c>
      <c r="J98">
        <v>1331</v>
      </c>
      <c r="K98">
        <v>9.33</v>
      </c>
      <c r="L98">
        <v>6.92</v>
      </c>
      <c r="M98">
        <f t="shared" si="9"/>
        <v>12418.23</v>
      </c>
      <c r="N98">
        <f t="shared" si="10"/>
        <v>9210.52</v>
      </c>
      <c r="O98">
        <f t="shared" si="11"/>
        <v>3207.7099999999991</v>
      </c>
      <c r="P98" s="6">
        <f t="shared" si="12"/>
        <v>0.25830653804930326</v>
      </c>
      <c r="Q98">
        <f t="shared" si="13"/>
        <v>36</v>
      </c>
      <c r="R98">
        <f t="shared" si="14"/>
        <v>2012</v>
      </c>
      <c r="S98" t="str">
        <f t="shared" si="15"/>
        <v>December</v>
      </c>
      <c r="T98">
        <f t="shared" si="16"/>
        <v>12</v>
      </c>
      <c r="U98" t="str">
        <f t="shared" si="17"/>
        <v>Low Profit</v>
      </c>
    </row>
    <row r="99" spans="1:21" x14ac:dyDescent="0.35">
      <c r="A99" s="5" t="s">
        <v>37</v>
      </c>
      <c r="B99" s="5" t="s">
        <v>164</v>
      </c>
      <c r="C99" t="s">
        <v>48</v>
      </c>
      <c r="D99" t="s">
        <v>215</v>
      </c>
      <c r="E99" t="s">
        <v>29</v>
      </c>
      <c r="F99" t="s">
        <v>24</v>
      </c>
      <c r="G99" s="3">
        <v>42249</v>
      </c>
      <c r="H99">
        <v>835054767</v>
      </c>
      <c r="I99" s="3">
        <v>42286</v>
      </c>
      <c r="J99">
        <v>117</v>
      </c>
      <c r="K99">
        <v>109.28</v>
      </c>
      <c r="L99">
        <v>35.840000000000003</v>
      </c>
      <c r="M99">
        <f t="shared" si="9"/>
        <v>12785.76</v>
      </c>
      <c r="N99">
        <f t="shared" si="10"/>
        <v>4193.2800000000007</v>
      </c>
      <c r="O99">
        <f t="shared" si="11"/>
        <v>8592.48</v>
      </c>
      <c r="P99" s="6">
        <f t="shared" si="12"/>
        <v>0.67203513909224011</v>
      </c>
      <c r="Q99">
        <f t="shared" si="13"/>
        <v>37</v>
      </c>
      <c r="R99">
        <f t="shared" si="14"/>
        <v>2015</v>
      </c>
      <c r="S99" t="str">
        <f t="shared" si="15"/>
        <v>September</v>
      </c>
      <c r="T99">
        <f t="shared" si="16"/>
        <v>9</v>
      </c>
      <c r="U99" t="str">
        <f t="shared" si="17"/>
        <v>Low Profit</v>
      </c>
    </row>
    <row r="100" spans="1:21" x14ac:dyDescent="0.35">
      <c r="A100" s="5" t="s">
        <v>37</v>
      </c>
      <c r="B100" s="5" t="s">
        <v>216</v>
      </c>
      <c r="C100" t="s">
        <v>60</v>
      </c>
      <c r="D100" t="s">
        <v>217</v>
      </c>
      <c r="E100" t="s">
        <v>23</v>
      </c>
      <c r="F100" t="s">
        <v>32</v>
      </c>
      <c r="G100" s="3">
        <v>41589</v>
      </c>
      <c r="H100">
        <v>167161977</v>
      </c>
      <c r="I100" s="3">
        <v>41632</v>
      </c>
      <c r="J100">
        <v>5798</v>
      </c>
      <c r="K100">
        <v>668.27</v>
      </c>
      <c r="L100">
        <v>502.54</v>
      </c>
      <c r="M100">
        <f t="shared" si="9"/>
        <v>3874629.46</v>
      </c>
      <c r="N100">
        <f t="shared" si="10"/>
        <v>2913726.92</v>
      </c>
      <c r="O100">
        <f t="shared" si="11"/>
        <v>960902.54</v>
      </c>
      <c r="P100" s="6">
        <f t="shared" si="12"/>
        <v>0.24799856345489099</v>
      </c>
      <c r="Q100">
        <f t="shared" si="13"/>
        <v>43</v>
      </c>
      <c r="R100">
        <f t="shared" si="14"/>
        <v>2013</v>
      </c>
      <c r="S100" t="str">
        <f t="shared" si="15"/>
        <v>November</v>
      </c>
      <c r="T100">
        <f t="shared" si="16"/>
        <v>11</v>
      </c>
      <c r="U100" t="str">
        <f t="shared" si="17"/>
        <v>High Profit</v>
      </c>
    </row>
    <row r="101" spans="1:21" x14ac:dyDescent="0.35">
      <c r="A101" s="5" t="s">
        <v>53</v>
      </c>
      <c r="B101" s="5" t="s">
        <v>218</v>
      </c>
      <c r="C101" t="s">
        <v>27</v>
      </c>
      <c r="D101" t="s">
        <v>219</v>
      </c>
      <c r="E101" t="s">
        <v>23</v>
      </c>
      <c r="F101" t="s">
        <v>32</v>
      </c>
      <c r="G101" s="3">
        <v>41855</v>
      </c>
      <c r="H101">
        <v>633895957</v>
      </c>
      <c r="I101" s="3">
        <v>41873</v>
      </c>
      <c r="J101">
        <v>2755</v>
      </c>
      <c r="K101">
        <v>154.06</v>
      </c>
      <c r="L101">
        <v>90.93</v>
      </c>
      <c r="M101">
        <f t="shared" si="9"/>
        <v>424435.3</v>
      </c>
      <c r="N101">
        <f t="shared" si="10"/>
        <v>250512.15000000002</v>
      </c>
      <c r="O101">
        <f t="shared" si="11"/>
        <v>173923.14999999997</v>
      </c>
      <c r="P101" s="6">
        <f t="shared" si="12"/>
        <v>0.40977541217707381</v>
      </c>
      <c r="Q101">
        <f t="shared" si="13"/>
        <v>18</v>
      </c>
      <c r="R101">
        <f t="shared" si="14"/>
        <v>2014</v>
      </c>
      <c r="S101" t="str">
        <f t="shared" si="15"/>
        <v>August</v>
      </c>
      <c r="T101">
        <f t="shared" si="16"/>
        <v>8</v>
      </c>
      <c r="U101" t="str">
        <f t="shared" si="17"/>
        <v>Medium Profit</v>
      </c>
    </row>
    <row r="102" spans="1:21" x14ac:dyDescent="0.35">
      <c r="A102" s="5" t="s">
        <v>25</v>
      </c>
      <c r="B102" s="5" t="s">
        <v>184</v>
      </c>
      <c r="C102" t="s">
        <v>48</v>
      </c>
      <c r="D102" t="s">
        <v>220</v>
      </c>
      <c r="E102" t="s">
        <v>23</v>
      </c>
      <c r="F102" t="s">
        <v>32</v>
      </c>
      <c r="G102" s="3">
        <v>40472</v>
      </c>
      <c r="H102">
        <v>699368035</v>
      </c>
      <c r="I102" s="3">
        <v>40519</v>
      </c>
      <c r="J102">
        <v>7398</v>
      </c>
      <c r="K102">
        <v>109.28</v>
      </c>
      <c r="L102">
        <v>35.840000000000003</v>
      </c>
      <c r="M102">
        <f t="shared" si="9"/>
        <v>808453.44000000006</v>
      </c>
      <c r="N102">
        <f t="shared" si="10"/>
        <v>265144.32000000001</v>
      </c>
      <c r="O102">
        <f t="shared" si="11"/>
        <v>543309.12000000011</v>
      </c>
      <c r="P102" s="6">
        <f t="shared" si="12"/>
        <v>0.67203513909224022</v>
      </c>
      <c r="Q102">
        <f t="shared" si="13"/>
        <v>47</v>
      </c>
      <c r="R102">
        <f t="shared" si="14"/>
        <v>2010</v>
      </c>
      <c r="S102" t="str">
        <f t="shared" si="15"/>
        <v>October</v>
      </c>
      <c r="T102">
        <f t="shared" si="16"/>
        <v>10</v>
      </c>
      <c r="U102" t="str">
        <f t="shared" si="17"/>
        <v>High Profit</v>
      </c>
    </row>
    <row r="103" spans="1:21" x14ac:dyDescent="0.35">
      <c r="A103" s="5" t="s">
        <v>19</v>
      </c>
      <c r="B103" s="5" t="s">
        <v>221</v>
      </c>
      <c r="C103" t="s">
        <v>27</v>
      </c>
      <c r="D103" t="s">
        <v>222</v>
      </c>
      <c r="E103" t="s">
        <v>23</v>
      </c>
      <c r="F103" t="s">
        <v>66</v>
      </c>
      <c r="G103" s="3">
        <v>42168</v>
      </c>
      <c r="H103">
        <v>698002040</v>
      </c>
      <c r="I103" s="3">
        <v>42214</v>
      </c>
      <c r="J103">
        <v>3170</v>
      </c>
      <c r="K103">
        <v>154.06</v>
      </c>
      <c r="L103">
        <v>90.93</v>
      </c>
      <c r="M103">
        <f t="shared" si="9"/>
        <v>488370.2</v>
      </c>
      <c r="N103">
        <f t="shared" si="10"/>
        <v>288248.10000000003</v>
      </c>
      <c r="O103">
        <f t="shared" si="11"/>
        <v>200122.09999999998</v>
      </c>
      <c r="P103" s="6">
        <f t="shared" si="12"/>
        <v>0.40977541217707381</v>
      </c>
      <c r="Q103">
        <f t="shared" si="13"/>
        <v>46</v>
      </c>
      <c r="R103">
        <f t="shared" si="14"/>
        <v>2015</v>
      </c>
      <c r="S103" t="str">
        <f t="shared" si="15"/>
        <v>June</v>
      </c>
      <c r="T103">
        <f t="shared" si="16"/>
        <v>6</v>
      </c>
      <c r="U103" t="str">
        <f t="shared" si="17"/>
        <v>Medium Profit</v>
      </c>
    </row>
    <row r="104" spans="1:21" x14ac:dyDescent="0.35">
      <c r="A104" s="5" t="s">
        <v>42</v>
      </c>
      <c r="B104" s="5" t="s">
        <v>223</v>
      </c>
      <c r="C104" t="s">
        <v>58</v>
      </c>
      <c r="D104" t="s">
        <v>224</v>
      </c>
      <c r="E104" t="s">
        <v>23</v>
      </c>
      <c r="F104" t="s">
        <v>41</v>
      </c>
      <c r="G104" s="3">
        <v>40997</v>
      </c>
      <c r="H104">
        <v>584534299</v>
      </c>
      <c r="I104" s="3">
        <v>41047</v>
      </c>
      <c r="J104">
        <v>5544</v>
      </c>
      <c r="K104">
        <v>152.58000000000001</v>
      </c>
      <c r="L104">
        <v>97.44</v>
      </c>
      <c r="M104">
        <f t="shared" si="9"/>
        <v>845903.52</v>
      </c>
      <c r="N104">
        <f t="shared" si="10"/>
        <v>540207.35999999999</v>
      </c>
      <c r="O104">
        <f t="shared" si="11"/>
        <v>305696.16000000003</v>
      </c>
      <c r="P104" s="6">
        <f t="shared" si="12"/>
        <v>0.36138419189933152</v>
      </c>
      <c r="Q104">
        <f t="shared" si="13"/>
        <v>50</v>
      </c>
      <c r="R104">
        <f t="shared" si="14"/>
        <v>2012</v>
      </c>
      <c r="S104" t="str">
        <f t="shared" si="15"/>
        <v>March</v>
      </c>
      <c r="T104">
        <f t="shared" si="16"/>
        <v>3</v>
      </c>
      <c r="U104" t="str">
        <f t="shared" si="17"/>
        <v>Medium Profit</v>
      </c>
    </row>
    <row r="105" spans="1:21" x14ac:dyDescent="0.35">
      <c r="A105" s="5" t="s">
        <v>37</v>
      </c>
      <c r="B105" s="5" t="s">
        <v>225</v>
      </c>
      <c r="C105" t="s">
        <v>27</v>
      </c>
      <c r="D105" t="s">
        <v>226</v>
      </c>
      <c r="E105" t="s">
        <v>29</v>
      </c>
      <c r="F105" t="s">
        <v>66</v>
      </c>
      <c r="G105" s="3">
        <v>41082</v>
      </c>
      <c r="H105">
        <v>384013640</v>
      </c>
      <c r="I105" s="3">
        <v>41109</v>
      </c>
      <c r="J105">
        <v>7025</v>
      </c>
      <c r="K105">
        <v>154.06</v>
      </c>
      <c r="L105">
        <v>90.93</v>
      </c>
      <c r="M105">
        <f t="shared" si="9"/>
        <v>1082271.5</v>
      </c>
      <c r="N105">
        <f t="shared" si="10"/>
        <v>638783.25</v>
      </c>
      <c r="O105">
        <f t="shared" si="11"/>
        <v>443488.25</v>
      </c>
      <c r="P105" s="6">
        <f t="shared" si="12"/>
        <v>0.40977541217707386</v>
      </c>
      <c r="Q105">
        <f t="shared" si="13"/>
        <v>27</v>
      </c>
      <c r="R105">
        <f t="shared" si="14"/>
        <v>2012</v>
      </c>
      <c r="S105" t="str">
        <f t="shared" si="15"/>
        <v>June</v>
      </c>
      <c r="T105">
        <f t="shared" si="16"/>
        <v>6</v>
      </c>
      <c r="U105" t="str">
        <f t="shared" si="17"/>
        <v>Medium Profit</v>
      </c>
    </row>
    <row r="106" spans="1:21" x14ac:dyDescent="0.35">
      <c r="A106" s="5" t="s">
        <v>42</v>
      </c>
      <c r="B106" s="5" t="s">
        <v>174</v>
      </c>
      <c r="C106" t="s">
        <v>83</v>
      </c>
      <c r="D106" t="s">
        <v>227</v>
      </c>
      <c r="E106" t="s">
        <v>29</v>
      </c>
      <c r="F106" t="s">
        <v>24</v>
      </c>
      <c r="G106" s="3">
        <v>41404</v>
      </c>
      <c r="H106">
        <v>641801393</v>
      </c>
      <c r="I106" s="3">
        <v>41418</v>
      </c>
      <c r="J106">
        <v>2149</v>
      </c>
      <c r="K106">
        <v>81.73</v>
      </c>
      <c r="L106">
        <v>56.67</v>
      </c>
      <c r="M106">
        <f t="shared" si="9"/>
        <v>175637.77000000002</v>
      </c>
      <c r="N106">
        <f t="shared" si="10"/>
        <v>121783.83</v>
      </c>
      <c r="O106">
        <f t="shared" si="11"/>
        <v>53853.940000000017</v>
      </c>
      <c r="P106" s="6">
        <f t="shared" si="12"/>
        <v>0.30661935641747223</v>
      </c>
      <c r="Q106">
        <f t="shared" si="13"/>
        <v>14</v>
      </c>
      <c r="R106">
        <f t="shared" si="14"/>
        <v>2013</v>
      </c>
      <c r="S106" t="str">
        <f t="shared" si="15"/>
        <v>May</v>
      </c>
      <c r="T106">
        <f t="shared" si="16"/>
        <v>5</v>
      </c>
      <c r="U106" t="str">
        <f t="shared" si="17"/>
        <v>Low Profit</v>
      </c>
    </row>
    <row r="107" spans="1:21" x14ac:dyDescent="0.35">
      <c r="A107" s="5" t="s">
        <v>19</v>
      </c>
      <c r="B107" s="5" t="s">
        <v>127</v>
      </c>
      <c r="C107" t="s">
        <v>83</v>
      </c>
      <c r="D107" t="s">
        <v>228</v>
      </c>
      <c r="E107" t="s">
        <v>29</v>
      </c>
      <c r="F107" t="s">
        <v>24</v>
      </c>
      <c r="G107" s="3">
        <v>42714</v>
      </c>
      <c r="H107">
        <v>173571383</v>
      </c>
      <c r="I107" s="3">
        <v>42746</v>
      </c>
      <c r="J107">
        <v>2484</v>
      </c>
      <c r="K107">
        <v>81.73</v>
      </c>
      <c r="L107">
        <v>56.67</v>
      </c>
      <c r="M107">
        <f t="shared" si="9"/>
        <v>203017.32</v>
      </c>
      <c r="N107">
        <f t="shared" si="10"/>
        <v>140768.28</v>
      </c>
      <c r="O107">
        <f t="shared" si="11"/>
        <v>62249.040000000008</v>
      </c>
      <c r="P107" s="6">
        <f t="shared" si="12"/>
        <v>0.30661935641747218</v>
      </c>
      <c r="Q107">
        <f t="shared" si="13"/>
        <v>32</v>
      </c>
      <c r="R107">
        <f t="shared" si="14"/>
        <v>2016</v>
      </c>
      <c r="S107" t="str">
        <f t="shared" si="15"/>
        <v>December</v>
      </c>
      <c r="T107">
        <f t="shared" si="16"/>
        <v>12</v>
      </c>
      <c r="U107" t="str">
        <f t="shared" si="17"/>
        <v>Low Profit</v>
      </c>
    </row>
    <row r="108" spans="1:21" x14ac:dyDescent="0.35">
      <c r="A108" s="5" t="s">
        <v>19</v>
      </c>
      <c r="B108" s="5" t="s">
        <v>229</v>
      </c>
      <c r="C108" t="s">
        <v>58</v>
      </c>
      <c r="D108" t="s">
        <v>230</v>
      </c>
      <c r="E108" t="s">
        <v>23</v>
      </c>
      <c r="F108" t="s">
        <v>41</v>
      </c>
      <c r="G108" s="3">
        <v>40622</v>
      </c>
      <c r="H108">
        <v>115309941</v>
      </c>
      <c r="I108" s="3">
        <v>40639</v>
      </c>
      <c r="J108">
        <v>1629</v>
      </c>
      <c r="K108">
        <v>152.58000000000001</v>
      </c>
      <c r="L108">
        <v>97.44</v>
      </c>
      <c r="M108">
        <f t="shared" si="9"/>
        <v>248552.82</v>
      </c>
      <c r="N108">
        <f t="shared" si="10"/>
        <v>158729.76</v>
      </c>
      <c r="O108">
        <f t="shared" si="11"/>
        <v>89823.06</v>
      </c>
      <c r="P108" s="6">
        <f t="shared" si="12"/>
        <v>0.36138419189933146</v>
      </c>
      <c r="Q108">
        <f t="shared" si="13"/>
        <v>17</v>
      </c>
      <c r="R108">
        <f t="shared" si="14"/>
        <v>2011</v>
      </c>
      <c r="S108" t="str">
        <f t="shared" si="15"/>
        <v>March</v>
      </c>
      <c r="T108">
        <f t="shared" si="16"/>
        <v>3</v>
      </c>
      <c r="U108" t="str">
        <f t="shared" si="17"/>
        <v>Low Profit</v>
      </c>
    </row>
    <row r="109" spans="1:21" x14ac:dyDescent="0.35">
      <c r="A109" s="5" t="s">
        <v>33</v>
      </c>
      <c r="B109" s="5" t="s">
        <v>231</v>
      </c>
      <c r="C109" t="s">
        <v>21</v>
      </c>
      <c r="D109" t="s">
        <v>232</v>
      </c>
      <c r="E109" t="s">
        <v>23</v>
      </c>
      <c r="F109" t="s">
        <v>66</v>
      </c>
      <c r="G109" s="3">
        <v>40808</v>
      </c>
      <c r="H109">
        <v>773315894</v>
      </c>
      <c r="I109" s="3">
        <v>40851</v>
      </c>
      <c r="J109">
        <v>213</v>
      </c>
      <c r="K109">
        <v>437.2</v>
      </c>
      <c r="L109">
        <v>263.33</v>
      </c>
      <c r="M109">
        <f t="shared" si="9"/>
        <v>93123.599999999991</v>
      </c>
      <c r="N109">
        <f t="shared" si="10"/>
        <v>56089.289999999994</v>
      </c>
      <c r="O109">
        <f t="shared" si="11"/>
        <v>37034.31</v>
      </c>
      <c r="P109" s="6">
        <f t="shared" si="12"/>
        <v>0.39768984446477584</v>
      </c>
      <c r="Q109">
        <f t="shared" si="13"/>
        <v>43</v>
      </c>
      <c r="R109">
        <f t="shared" si="14"/>
        <v>2011</v>
      </c>
      <c r="S109" t="str">
        <f t="shared" si="15"/>
        <v>September</v>
      </c>
      <c r="T109">
        <f t="shared" si="16"/>
        <v>9</v>
      </c>
      <c r="U109" t="str">
        <f t="shared" si="17"/>
        <v>Low Profit</v>
      </c>
    </row>
    <row r="110" spans="1:21" x14ac:dyDescent="0.35">
      <c r="A110" s="5" t="s">
        <v>37</v>
      </c>
      <c r="B110" s="5" t="s">
        <v>191</v>
      </c>
      <c r="C110" t="s">
        <v>72</v>
      </c>
      <c r="D110" t="s">
        <v>233</v>
      </c>
      <c r="E110" t="s">
        <v>29</v>
      </c>
      <c r="F110" t="s">
        <v>24</v>
      </c>
      <c r="G110" s="3">
        <v>41040</v>
      </c>
      <c r="H110">
        <v>274200570</v>
      </c>
      <c r="I110" s="3">
        <v>41086</v>
      </c>
      <c r="J110">
        <v>897</v>
      </c>
      <c r="K110">
        <v>47.45</v>
      </c>
      <c r="L110">
        <v>31.79</v>
      </c>
      <c r="M110">
        <f t="shared" si="9"/>
        <v>42562.65</v>
      </c>
      <c r="N110">
        <f t="shared" si="10"/>
        <v>28515.63</v>
      </c>
      <c r="O110">
        <f t="shared" si="11"/>
        <v>14047.02</v>
      </c>
      <c r="P110" s="6">
        <f t="shared" si="12"/>
        <v>0.33003161222339306</v>
      </c>
      <c r="Q110">
        <f t="shared" si="13"/>
        <v>46</v>
      </c>
      <c r="R110">
        <f t="shared" si="14"/>
        <v>2012</v>
      </c>
      <c r="S110" t="str">
        <f t="shared" si="15"/>
        <v>May</v>
      </c>
      <c r="T110">
        <f t="shared" si="16"/>
        <v>5</v>
      </c>
      <c r="U110" t="str">
        <f t="shared" si="17"/>
        <v>Low Profit</v>
      </c>
    </row>
    <row r="111" spans="1:21" x14ac:dyDescent="0.35">
      <c r="A111" s="5" t="s">
        <v>19</v>
      </c>
      <c r="B111" s="5" t="s">
        <v>234</v>
      </c>
      <c r="C111" t="s">
        <v>48</v>
      </c>
      <c r="D111" t="s">
        <v>235</v>
      </c>
      <c r="E111" t="s">
        <v>23</v>
      </c>
      <c r="F111" t="s">
        <v>24</v>
      </c>
      <c r="G111" s="3">
        <v>40862</v>
      </c>
      <c r="H111">
        <v>414887797</v>
      </c>
      <c r="I111" s="3">
        <v>40864</v>
      </c>
      <c r="J111">
        <v>3374</v>
      </c>
      <c r="K111">
        <v>109.28</v>
      </c>
      <c r="L111">
        <v>35.840000000000003</v>
      </c>
      <c r="M111">
        <f t="shared" si="9"/>
        <v>368710.72000000003</v>
      </c>
      <c r="N111">
        <f t="shared" si="10"/>
        <v>120924.16000000002</v>
      </c>
      <c r="O111">
        <f t="shared" si="11"/>
        <v>247786.56</v>
      </c>
      <c r="P111" s="6">
        <f t="shared" si="12"/>
        <v>0.67203513909224011</v>
      </c>
      <c r="Q111">
        <f t="shared" si="13"/>
        <v>2</v>
      </c>
      <c r="R111">
        <f t="shared" si="14"/>
        <v>2011</v>
      </c>
      <c r="S111" t="str">
        <f t="shared" si="15"/>
        <v>November</v>
      </c>
      <c r="T111">
        <f t="shared" si="16"/>
        <v>11</v>
      </c>
      <c r="U111" t="str">
        <f t="shared" si="17"/>
        <v>Medium Profit</v>
      </c>
    </row>
    <row r="112" spans="1:21" x14ac:dyDescent="0.35">
      <c r="A112" s="5" t="s">
        <v>53</v>
      </c>
      <c r="B112" s="5" t="s">
        <v>206</v>
      </c>
      <c r="C112" t="s">
        <v>72</v>
      </c>
      <c r="D112" t="s">
        <v>236</v>
      </c>
      <c r="E112" t="s">
        <v>23</v>
      </c>
      <c r="F112" t="s">
        <v>66</v>
      </c>
      <c r="G112" s="3">
        <v>40205</v>
      </c>
      <c r="H112">
        <v>812613904</v>
      </c>
      <c r="I112" s="3">
        <v>40207</v>
      </c>
      <c r="J112">
        <v>9367</v>
      </c>
      <c r="K112">
        <v>47.45</v>
      </c>
      <c r="L112">
        <v>31.79</v>
      </c>
      <c r="M112">
        <f t="shared" si="9"/>
        <v>444464.15</v>
      </c>
      <c r="N112">
        <f t="shared" si="10"/>
        <v>297776.93</v>
      </c>
      <c r="O112">
        <f t="shared" si="11"/>
        <v>146687.22000000003</v>
      </c>
      <c r="P112" s="6">
        <f t="shared" si="12"/>
        <v>0.33003161222339311</v>
      </c>
      <c r="Q112">
        <f t="shared" si="13"/>
        <v>2</v>
      </c>
      <c r="R112">
        <f t="shared" si="14"/>
        <v>2010</v>
      </c>
      <c r="S112" t="str">
        <f t="shared" si="15"/>
        <v>January</v>
      </c>
      <c r="T112">
        <f t="shared" si="16"/>
        <v>1</v>
      </c>
      <c r="U112" t="str">
        <f t="shared" si="17"/>
        <v>Medium Profit</v>
      </c>
    </row>
    <row r="113" spans="1:21" x14ac:dyDescent="0.35">
      <c r="A113" s="5" t="s">
        <v>33</v>
      </c>
      <c r="B113" s="5" t="s">
        <v>237</v>
      </c>
      <c r="C113" t="s">
        <v>30</v>
      </c>
      <c r="D113" t="s">
        <v>238</v>
      </c>
      <c r="E113" t="s">
        <v>29</v>
      </c>
      <c r="F113" t="s">
        <v>41</v>
      </c>
      <c r="G113" s="3">
        <v>40772</v>
      </c>
      <c r="H113">
        <v>254927718</v>
      </c>
      <c r="I113" s="3">
        <v>40793</v>
      </c>
      <c r="J113">
        <v>7632</v>
      </c>
      <c r="K113">
        <v>255.28</v>
      </c>
      <c r="L113">
        <v>159.41999999999999</v>
      </c>
      <c r="M113">
        <f t="shared" si="9"/>
        <v>1948296.96</v>
      </c>
      <c r="N113">
        <f t="shared" si="10"/>
        <v>1216693.44</v>
      </c>
      <c r="O113">
        <f t="shared" si="11"/>
        <v>731603.52</v>
      </c>
      <c r="P113" s="6">
        <f t="shared" si="12"/>
        <v>0.37550924475086184</v>
      </c>
      <c r="Q113">
        <f t="shared" si="13"/>
        <v>21</v>
      </c>
      <c r="R113">
        <f t="shared" si="14"/>
        <v>2011</v>
      </c>
      <c r="S113" t="str">
        <f t="shared" si="15"/>
        <v>August</v>
      </c>
      <c r="T113">
        <f t="shared" si="16"/>
        <v>8</v>
      </c>
      <c r="U113" t="str">
        <f t="shared" si="17"/>
        <v>High Profit</v>
      </c>
    </row>
    <row r="114" spans="1:21" x14ac:dyDescent="0.35">
      <c r="A114" s="5" t="s">
        <v>19</v>
      </c>
      <c r="B114" s="5" t="s">
        <v>239</v>
      </c>
      <c r="C114" t="s">
        <v>72</v>
      </c>
      <c r="D114" t="s">
        <v>240</v>
      </c>
      <c r="E114" t="s">
        <v>23</v>
      </c>
      <c r="F114" t="s">
        <v>24</v>
      </c>
      <c r="G114" s="3">
        <v>41888</v>
      </c>
      <c r="H114">
        <v>749690568</v>
      </c>
      <c r="I114" s="3">
        <v>41938</v>
      </c>
      <c r="J114">
        <v>8954</v>
      </c>
      <c r="K114">
        <v>47.45</v>
      </c>
      <c r="L114">
        <v>31.79</v>
      </c>
      <c r="M114">
        <f t="shared" si="9"/>
        <v>424867.30000000005</v>
      </c>
      <c r="N114">
        <f t="shared" si="10"/>
        <v>284647.65999999997</v>
      </c>
      <c r="O114">
        <f t="shared" si="11"/>
        <v>140219.64000000007</v>
      </c>
      <c r="P114" s="6">
        <f t="shared" si="12"/>
        <v>0.33003161222339317</v>
      </c>
      <c r="Q114">
        <f t="shared" si="13"/>
        <v>50</v>
      </c>
      <c r="R114">
        <f t="shared" si="14"/>
        <v>2014</v>
      </c>
      <c r="S114" t="str">
        <f t="shared" si="15"/>
        <v>September</v>
      </c>
      <c r="T114">
        <f t="shared" si="16"/>
        <v>9</v>
      </c>
      <c r="U114" t="str">
        <f t="shared" si="17"/>
        <v>Medium Profit</v>
      </c>
    </row>
    <row r="115" spans="1:21" x14ac:dyDescent="0.35">
      <c r="A115" s="5" t="s">
        <v>37</v>
      </c>
      <c r="B115" s="5" t="s">
        <v>45</v>
      </c>
      <c r="C115" t="s">
        <v>35</v>
      </c>
      <c r="D115" t="s">
        <v>241</v>
      </c>
      <c r="E115" t="s">
        <v>23</v>
      </c>
      <c r="F115" t="s">
        <v>32</v>
      </c>
      <c r="G115" s="3">
        <v>41885</v>
      </c>
      <c r="H115">
        <v>775076282</v>
      </c>
      <c r="I115" s="3">
        <v>41901</v>
      </c>
      <c r="J115">
        <v>1150</v>
      </c>
      <c r="K115">
        <v>205.7</v>
      </c>
      <c r="L115">
        <v>117.11</v>
      </c>
      <c r="M115">
        <f t="shared" si="9"/>
        <v>236555</v>
      </c>
      <c r="N115">
        <f t="shared" si="10"/>
        <v>134676.5</v>
      </c>
      <c r="O115">
        <f t="shared" si="11"/>
        <v>101878.5</v>
      </c>
      <c r="P115" s="6">
        <f t="shared" si="12"/>
        <v>0.43067574137092851</v>
      </c>
      <c r="Q115">
        <f t="shared" si="13"/>
        <v>16</v>
      </c>
      <c r="R115">
        <f t="shared" si="14"/>
        <v>2014</v>
      </c>
      <c r="S115" t="str">
        <f t="shared" si="15"/>
        <v>September</v>
      </c>
      <c r="T115">
        <f t="shared" si="16"/>
        <v>9</v>
      </c>
      <c r="U115" t="str">
        <f t="shared" si="17"/>
        <v>Medium Profit</v>
      </c>
    </row>
    <row r="116" spans="1:21" x14ac:dyDescent="0.35">
      <c r="A116" s="5" t="s">
        <v>37</v>
      </c>
      <c r="B116" s="5" t="s">
        <v>107</v>
      </c>
      <c r="C116" t="s">
        <v>69</v>
      </c>
      <c r="D116" t="s">
        <v>242</v>
      </c>
      <c r="E116" t="s">
        <v>29</v>
      </c>
      <c r="F116" t="s">
        <v>41</v>
      </c>
      <c r="G116" s="3">
        <v>42252</v>
      </c>
      <c r="H116">
        <v>229571187</v>
      </c>
      <c r="I116" s="3">
        <v>42265</v>
      </c>
      <c r="J116">
        <v>4071</v>
      </c>
      <c r="K116">
        <v>651.21</v>
      </c>
      <c r="L116">
        <v>524.96</v>
      </c>
      <c r="M116">
        <f t="shared" si="9"/>
        <v>2651075.91</v>
      </c>
      <c r="N116">
        <f t="shared" si="10"/>
        <v>2137112.16</v>
      </c>
      <c r="O116">
        <f t="shared" si="11"/>
        <v>513963.75</v>
      </c>
      <c r="P116" s="6">
        <f t="shared" si="12"/>
        <v>0.19386987300563566</v>
      </c>
      <c r="Q116">
        <f t="shared" si="13"/>
        <v>13</v>
      </c>
      <c r="R116">
        <f t="shared" si="14"/>
        <v>2015</v>
      </c>
      <c r="S116" t="str">
        <f t="shared" si="15"/>
        <v>September</v>
      </c>
      <c r="T116">
        <f t="shared" si="16"/>
        <v>9</v>
      </c>
      <c r="U116" t="str">
        <f t="shared" si="17"/>
        <v>High Profit</v>
      </c>
    </row>
    <row r="117" spans="1:21" x14ac:dyDescent="0.35">
      <c r="A117" s="5" t="s">
        <v>33</v>
      </c>
      <c r="B117" s="5" t="s">
        <v>243</v>
      </c>
      <c r="C117" t="s">
        <v>30</v>
      </c>
      <c r="D117" t="s">
        <v>244</v>
      </c>
      <c r="E117" t="s">
        <v>29</v>
      </c>
      <c r="F117" t="s">
        <v>32</v>
      </c>
      <c r="G117" s="3">
        <v>40714</v>
      </c>
      <c r="H117">
        <v>881974112</v>
      </c>
      <c r="I117" s="3">
        <v>40735</v>
      </c>
      <c r="J117">
        <v>4594</v>
      </c>
      <c r="K117">
        <v>255.28</v>
      </c>
      <c r="L117">
        <v>159.41999999999999</v>
      </c>
      <c r="M117">
        <f t="shared" si="9"/>
        <v>1172756.32</v>
      </c>
      <c r="N117">
        <f t="shared" si="10"/>
        <v>732375.48</v>
      </c>
      <c r="O117">
        <f t="shared" si="11"/>
        <v>440380.84000000008</v>
      </c>
      <c r="P117" s="6">
        <f t="shared" si="12"/>
        <v>0.37550924475086184</v>
      </c>
      <c r="Q117">
        <f t="shared" si="13"/>
        <v>21</v>
      </c>
      <c r="R117">
        <f t="shared" si="14"/>
        <v>2011</v>
      </c>
      <c r="S117" t="str">
        <f t="shared" si="15"/>
        <v>June</v>
      </c>
      <c r="T117">
        <f t="shared" si="16"/>
        <v>6</v>
      </c>
      <c r="U117" t="str">
        <f t="shared" si="17"/>
        <v>Medium Profit</v>
      </c>
    </row>
    <row r="118" spans="1:21" x14ac:dyDescent="0.35">
      <c r="A118" s="5" t="s">
        <v>53</v>
      </c>
      <c r="B118" s="5" t="s">
        <v>245</v>
      </c>
      <c r="C118" t="s">
        <v>58</v>
      </c>
      <c r="D118" t="s">
        <v>246</v>
      </c>
      <c r="E118" t="s">
        <v>29</v>
      </c>
      <c r="F118" t="s">
        <v>66</v>
      </c>
      <c r="G118" s="3">
        <v>40920</v>
      </c>
      <c r="H118">
        <v>521396386</v>
      </c>
      <c r="I118" s="3">
        <v>40953</v>
      </c>
      <c r="J118">
        <v>1632</v>
      </c>
      <c r="K118">
        <v>152.58000000000001</v>
      </c>
      <c r="L118">
        <v>97.44</v>
      </c>
      <c r="M118">
        <f t="shared" si="9"/>
        <v>249010.56000000003</v>
      </c>
      <c r="N118">
        <f t="shared" si="10"/>
        <v>159022.07999999999</v>
      </c>
      <c r="O118">
        <f t="shared" si="11"/>
        <v>89988.48000000004</v>
      </c>
      <c r="P118" s="6">
        <f t="shared" si="12"/>
        <v>0.36138419189933163</v>
      </c>
      <c r="Q118">
        <f t="shared" si="13"/>
        <v>33</v>
      </c>
      <c r="R118">
        <f t="shared" si="14"/>
        <v>2012</v>
      </c>
      <c r="S118" t="str">
        <f t="shared" si="15"/>
        <v>January</v>
      </c>
      <c r="T118">
        <f t="shared" si="16"/>
        <v>1</v>
      </c>
      <c r="U118" t="str">
        <f t="shared" si="17"/>
        <v>Low Profit</v>
      </c>
    </row>
    <row r="119" spans="1:21" x14ac:dyDescent="0.35">
      <c r="A119" s="5" t="s">
        <v>33</v>
      </c>
      <c r="B119" s="5" t="s">
        <v>247</v>
      </c>
      <c r="C119" t="s">
        <v>60</v>
      </c>
      <c r="D119" t="s">
        <v>248</v>
      </c>
      <c r="E119" t="s">
        <v>29</v>
      </c>
      <c r="F119" t="s">
        <v>32</v>
      </c>
      <c r="G119" s="3">
        <v>42758</v>
      </c>
      <c r="H119">
        <v>607261836</v>
      </c>
      <c r="I119" s="3">
        <v>42788</v>
      </c>
      <c r="J119">
        <v>1127</v>
      </c>
      <c r="K119">
        <v>668.27</v>
      </c>
      <c r="L119">
        <v>502.54</v>
      </c>
      <c r="M119">
        <f t="shared" si="9"/>
        <v>753140.29</v>
      </c>
      <c r="N119">
        <f t="shared" si="10"/>
        <v>566362.58000000007</v>
      </c>
      <c r="O119">
        <f t="shared" si="11"/>
        <v>186777.70999999996</v>
      </c>
      <c r="P119" s="6">
        <f t="shared" si="12"/>
        <v>0.24799856345489094</v>
      </c>
      <c r="Q119">
        <f t="shared" si="13"/>
        <v>30</v>
      </c>
      <c r="R119">
        <f t="shared" si="14"/>
        <v>2017</v>
      </c>
      <c r="S119" t="str">
        <f t="shared" si="15"/>
        <v>January</v>
      </c>
      <c r="T119">
        <f t="shared" si="16"/>
        <v>1</v>
      </c>
      <c r="U119" t="str">
        <f t="shared" si="17"/>
        <v>Medium Profit</v>
      </c>
    </row>
    <row r="120" spans="1:21" x14ac:dyDescent="0.35">
      <c r="A120" s="5" t="s">
        <v>42</v>
      </c>
      <c r="B120" s="5" t="s">
        <v>249</v>
      </c>
      <c r="C120" t="s">
        <v>27</v>
      </c>
      <c r="D120" t="s">
        <v>250</v>
      </c>
      <c r="E120" t="s">
        <v>29</v>
      </c>
      <c r="F120" t="s">
        <v>24</v>
      </c>
      <c r="G120" s="3">
        <v>40972</v>
      </c>
      <c r="H120">
        <v>419306790</v>
      </c>
      <c r="I120" s="3">
        <v>40980</v>
      </c>
      <c r="J120">
        <v>1052</v>
      </c>
      <c r="K120">
        <v>154.06</v>
      </c>
      <c r="L120">
        <v>90.93</v>
      </c>
      <c r="M120">
        <f t="shared" si="9"/>
        <v>162071.12</v>
      </c>
      <c r="N120">
        <f t="shared" si="10"/>
        <v>95658.36</v>
      </c>
      <c r="O120">
        <f t="shared" si="11"/>
        <v>66412.759999999995</v>
      </c>
      <c r="P120" s="6">
        <f t="shared" si="12"/>
        <v>0.40977541217707386</v>
      </c>
      <c r="Q120">
        <f t="shared" si="13"/>
        <v>8</v>
      </c>
      <c r="R120">
        <f t="shared" si="14"/>
        <v>2012</v>
      </c>
      <c r="S120" t="str">
        <f t="shared" si="15"/>
        <v>March</v>
      </c>
      <c r="T120">
        <f t="shared" si="16"/>
        <v>3</v>
      </c>
      <c r="U120" t="str">
        <f t="shared" si="17"/>
        <v>Low Profit</v>
      </c>
    </row>
    <row r="121" spans="1:21" x14ac:dyDescent="0.35">
      <c r="A121" s="5" t="s">
        <v>37</v>
      </c>
      <c r="B121" s="5" t="s">
        <v>193</v>
      </c>
      <c r="C121" t="s">
        <v>92</v>
      </c>
      <c r="D121" t="s">
        <v>251</v>
      </c>
      <c r="E121" t="s">
        <v>23</v>
      </c>
      <c r="F121" t="s">
        <v>41</v>
      </c>
      <c r="G121" s="3">
        <v>40377</v>
      </c>
      <c r="H121">
        <v>207580077</v>
      </c>
      <c r="I121" s="3">
        <v>40377</v>
      </c>
      <c r="J121">
        <v>6413</v>
      </c>
      <c r="K121">
        <v>421.89</v>
      </c>
      <c r="L121">
        <v>364.69</v>
      </c>
      <c r="M121">
        <f t="shared" si="9"/>
        <v>2705580.57</v>
      </c>
      <c r="N121">
        <f t="shared" si="10"/>
        <v>2338756.9700000002</v>
      </c>
      <c r="O121">
        <f t="shared" si="11"/>
        <v>366823.59999999963</v>
      </c>
      <c r="P121" s="6">
        <f t="shared" si="12"/>
        <v>0.13558036455000105</v>
      </c>
      <c r="Q121">
        <f t="shared" si="13"/>
        <v>0</v>
      </c>
      <c r="R121">
        <f t="shared" si="14"/>
        <v>2010</v>
      </c>
      <c r="S121" t="str">
        <f t="shared" si="15"/>
        <v>July</v>
      </c>
      <c r="T121">
        <f t="shared" si="16"/>
        <v>7</v>
      </c>
      <c r="U121" t="str">
        <f t="shared" si="17"/>
        <v>Medium Profit</v>
      </c>
    </row>
    <row r="122" spans="1:21" x14ac:dyDescent="0.35">
      <c r="A122" s="5" t="s">
        <v>42</v>
      </c>
      <c r="B122" s="5" t="s">
        <v>111</v>
      </c>
      <c r="C122" t="s">
        <v>58</v>
      </c>
      <c r="D122" t="s">
        <v>252</v>
      </c>
      <c r="E122" t="s">
        <v>29</v>
      </c>
      <c r="F122" t="s">
        <v>24</v>
      </c>
      <c r="G122" s="3">
        <v>40645</v>
      </c>
      <c r="H122">
        <v>742443025</v>
      </c>
      <c r="I122" s="3">
        <v>40648</v>
      </c>
      <c r="J122">
        <v>4245</v>
      </c>
      <c r="K122">
        <v>152.58000000000001</v>
      </c>
      <c r="L122">
        <v>97.44</v>
      </c>
      <c r="M122">
        <f t="shared" si="9"/>
        <v>647702.10000000009</v>
      </c>
      <c r="N122">
        <f t="shared" si="10"/>
        <v>413632.8</v>
      </c>
      <c r="O122">
        <f t="shared" si="11"/>
        <v>234069.3000000001</v>
      </c>
      <c r="P122" s="6">
        <f t="shared" si="12"/>
        <v>0.36138419189933163</v>
      </c>
      <c r="Q122">
        <f t="shared" si="13"/>
        <v>3</v>
      </c>
      <c r="R122">
        <f t="shared" si="14"/>
        <v>2011</v>
      </c>
      <c r="S122" t="str">
        <f t="shared" si="15"/>
        <v>April</v>
      </c>
      <c r="T122">
        <f t="shared" si="16"/>
        <v>4</v>
      </c>
      <c r="U122" t="str">
        <f t="shared" si="17"/>
        <v>Medium Profit</v>
      </c>
    </row>
    <row r="123" spans="1:21" x14ac:dyDescent="0.35">
      <c r="A123" s="5" t="s">
        <v>37</v>
      </c>
      <c r="B123" s="5" t="s">
        <v>216</v>
      </c>
      <c r="C123" t="s">
        <v>58</v>
      </c>
      <c r="D123" t="s">
        <v>253</v>
      </c>
      <c r="E123" t="s">
        <v>23</v>
      </c>
      <c r="F123" t="s">
        <v>24</v>
      </c>
      <c r="G123" s="3">
        <v>40454</v>
      </c>
      <c r="H123">
        <v>164569461</v>
      </c>
      <c r="I123" s="3">
        <v>40456</v>
      </c>
      <c r="J123">
        <v>8615</v>
      </c>
      <c r="K123">
        <v>152.58000000000001</v>
      </c>
      <c r="L123">
        <v>97.44</v>
      </c>
      <c r="M123">
        <f t="shared" si="9"/>
        <v>1314476.7000000002</v>
      </c>
      <c r="N123">
        <f t="shared" si="10"/>
        <v>839445.6</v>
      </c>
      <c r="O123">
        <f t="shared" si="11"/>
        <v>475031.10000000021</v>
      </c>
      <c r="P123" s="6">
        <f t="shared" si="12"/>
        <v>0.36138419189933163</v>
      </c>
      <c r="Q123">
        <f t="shared" si="13"/>
        <v>2</v>
      </c>
      <c r="R123">
        <f t="shared" si="14"/>
        <v>2010</v>
      </c>
      <c r="S123" t="str">
        <f t="shared" si="15"/>
        <v>October</v>
      </c>
      <c r="T123">
        <f t="shared" si="16"/>
        <v>10</v>
      </c>
      <c r="U123" t="str">
        <f t="shared" si="17"/>
        <v>Medium Profit</v>
      </c>
    </row>
    <row r="124" spans="1:21" x14ac:dyDescent="0.35">
      <c r="A124" s="5" t="s">
        <v>37</v>
      </c>
      <c r="B124" s="5" t="s">
        <v>254</v>
      </c>
      <c r="C124" t="s">
        <v>30</v>
      </c>
      <c r="D124" t="s">
        <v>255</v>
      </c>
      <c r="E124" t="s">
        <v>29</v>
      </c>
      <c r="F124" t="s">
        <v>66</v>
      </c>
      <c r="G124" s="3">
        <v>41637</v>
      </c>
      <c r="H124">
        <v>734945714</v>
      </c>
      <c r="I124" s="3">
        <v>41682</v>
      </c>
      <c r="J124">
        <v>5624</v>
      </c>
      <c r="K124">
        <v>255.28</v>
      </c>
      <c r="L124">
        <v>159.41999999999999</v>
      </c>
      <c r="M124">
        <f t="shared" si="9"/>
        <v>1435694.72</v>
      </c>
      <c r="N124">
        <f t="shared" si="10"/>
        <v>896578.08</v>
      </c>
      <c r="O124">
        <f t="shared" si="11"/>
        <v>539116.64</v>
      </c>
      <c r="P124" s="6">
        <f t="shared" si="12"/>
        <v>0.37550924475086184</v>
      </c>
      <c r="Q124">
        <f t="shared" si="13"/>
        <v>45</v>
      </c>
      <c r="R124">
        <f t="shared" si="14"/>
        <v>2013</v>
      </c>
      <c r="S124" t="str">
        <f t="shared" si="15"/>
        <v>December</v>
      </c>
      <c r="T124">
        <f t="shared" si="16"/>
        <v>12</v>
      </c>
      <c r="U124" t="str">
        <f t="shared" si="17"/>
        <v>High Profit</v>
      </c>
    </row>
    <row r="125" spans="1:21" x14ac:dyDescent="0.35">
      <c r="A125" s="5" t="s">
        <v>42</v>
      </c>
      <c r="B125" s="5" t="s">
        <v>180</v>
      </c>
      <c r="C125" t="s">
        <v>48</v>
      </c>
      <c r="D125" t="s">
        <v>256</v>
      </c>
      <c r="E125" t="s">
        <v>23</v>
      </c>
      <c r="F125" t="s">
        <v>32</v>
      </c>
      <c r="G125" s="3">
        <v>42266</v>
      </c>
      <c r="H125">
        <v>284870612</v>
      </c>
      <c r="I125" s="3">
        <v>42284</v>
      </c>
      <c r="J125">
        <v>8399</v>
      </c>
      <c r="K125">
        <v>109.28</v>
      </c>
      <c r="L125">
        <v>35.840000000000003</v>
      </c>
      <c r="M125">
        <f t="shared" si="9"/>
        <v>917842.72</v>
      </c>
      <c r="N125">
        <f t="shared" si="10"/>
        <v>301020.16000000003</v>
      </c>
      <c r="O125">
        <f t="shared" si="11"/>
        <v>616822.55999999994</v>
      </c>
      <c r="P125" s="6">
        <f t="shared" si="12"/>
        <v>0.67203513909224011</v>
      </c>
      <c r="Q125">
        <f t="shared" si="13"/>
        <v>18</v>
      </c>
      <c r="R125">
        <f t="shared" si="14"/>
        <v>2015</v>
      </c>
      <c r="S125" t="str">
        <f t="shared" si="15"/>
        <v>September</v>
      </c>
      <c r="T125">
        <f t="shared" si="16"/>
        <v>9</v>
      </c>
      <c r="U125" t="str">
        <f t="shared" si="17"/>
        <v>High Profit</v>
      </c>
    </row>
    <row r="126" spans="1:21" x14ac:dyDescent="0.35">
      <c r="A126" s="5" t="s">
        <v>42</v>
      </c>
      <c r="B126" s="5" t="s">
        <v>257</v>
      </c>
      <c r="C126" t="s">
        <v>39</v>
      </c>
      <c r="D126" t="s">
        <v>258</v>
      </c>
      <c r="E126" t="s">
        <v>23</v>
      </c>
      <c r="F126" t="s">
        <v>24</v>
      </c>
      <c r="G126" s="3">
        <v>40803</v>
      </c>
      <c r="H126">
        <v>765955483</v>
      </c>
      <c r="I126" s="3">
        <v>40823</v>
      </c>
      <c r="J126">
        <v>2104</v>
      </c>
      <c r="K126">
        <v>9.33</v>
      </c>
      <c r="L126">
        <v>6.92</v>
      </c>
      <c r="M126">
        <f t="shared" si="9"/>
        <v>19630.32</v>
      </c>
      <c r="N126">
        <f t="shared" si="10"/>
        <v>14559.68</v>
      </c>
      <c r="O126">
        <f t="shared" si="11"/>
        <v>5070.6399999999994</v>
      </c>
      <c r="P126" s="6">
        <f t="shared" si="12"/>
        <v>0.25830653804930331</v>
      </c>
      <c r="Q126">
        <f t="shared" si="13"/>
        <v>20</v>
      </c>
      <c r="R126">
        <f t="shared" si="14"/>
        <v>2011</v>
      </c>
      <c r="S126" t="str">
        <f t="shared" si="15"/>
        <v>September</v>
      </c>
      <c r="T126">
        <f t="shared" si="16"/>
        <v>9</v>
      </c>
      <c r="U126" t="str">
        <f t="shared" si="17"/>
        <v>Low Profit</v>
      </c>
    </row>
    <row r="127" spans="1:21" x14ac:dyDescent="0.35">
      <c r="A127" s="5" t="s">
        <v>33</v>
      </c>
      <c r="B127" s="5" t="s">
        <v>141</v>
      </c>
      <c r="C127" t="s">
        <v>58</v>
      </c>
      <c r="D127" t="s">
        <v>259</v>
      </c>
      <c r="E127" t="s">
        <v>23</v>
      </c>
      <c r="F127" t="s">
        <v>41</v>
      </c>
      <c r="G127" s="3">
        <v>40248</v>
      </c>
      <c r="H127">
        <v>600124156</v>
      </c>
      <c r="I127" s="3">
        <v>40289</v>
      </c>
      <c r="J127">
        <v>8929</v>
      </c>
      <c r="K127">
        <v>152.58000000000001</v>
      </c>
      <c r="L127">
        <v>97.44</v>
      </c>
      <c r="M127">
        <f t="shared" si="9"/>
        <v>1362386.82</v>
      </c>
      <c r="N127">
        <f t="shared" si="10"/>
        <v>870041.76</v>
      </c>
      <c r="O127">
        <f t="shared" si="11"/>
        <v>492345.06000000006</v>
      </c>
      <c r="P127" s="6">
        <f t="shared" si="12"/>
        <v>0.36138419189933152</v>
      </c>
      <c r="Q127">
        <f t="shared" si="13"/>
        <v>41</v>
      </c>
      <c r="R127">
        <f t="shared" si="14"/>
        <v>2010</v>
      </c>
      <c r="S127" t="str">
        <f t="shared" si="15"/>
        <v>March</v>
      </c>
      <c r="T127">
        <f t="shared" si="16"/>
        <v>3</v>
      </c>
      <c r="U127" t="str">
        <f t="shared" si="17"/>
        <v>Medium Profit</v>
      </c>
    </row>
    <row r="128" spans="1:21" x14ac:dyDescent="0.35">
      <c r="A128" s="5" t="s">
        <v>37</v>
      </c>
      <c r="B128" s="5" t="s">
        <v>260</v>
      </c>
      <c r="C128" t="s">
        <v>60</v>
      </c>
      <c r="D128" t="s">
        <v>261</v>
      </c>
      <c r="E128" t="s">
        <v>23</v>
      </c>
      <c r="F128" t="s">
        <v>66</v>
      </c>
      <c r="G128" s="3">
        <v>41223</v>
      </c>
      <c r="H128">
        <v>529612958</v>
      </c>
      <c r="I128" s="3">
        <v>41254</v>
      </c>
      <c r="J128">
        <v>3098</v>
      </c>
      <c r="K128">
        <v>668.27</v>
      </c>
      <c r="L128">
        <v>502.54</v>
      </c>
      <c r="M128">
        <f t="shared" si="9"/>
        <v>2070300.46</v>
      </c>
      <c r="N128">
        <f t="shared" si="10"/>
        <v>1556868.9200000002</v>
      </c>
      <c r="O128">
        <f t="shared" si="11"/>
        <v>513431.5399999998</v>
      </c>
      <c r="P128" s="6">
        <f t="shared" si="12"/>
        <v>0.24799856345489091</v>
      </c>
      <c r="Q128">
        <f t="shared" si="13"/>
        <v>31</v>
      </c>
      <c r="R128">
        <f t="shared" si="14"/>
        <v>2012</v>
      </c>
      <c r="S128" t="str">
        <f t="shared" si="15"/>
        <v>November</v>
      </c>
      <c r="T128">
        <f t="shared" si="16"/>
        <v>11</v>
      </c>
      <c r="U128" t="str">
        <f t="shared" si="17"/>
        <v>High Profit</v>
      </c>
    </row>
    <row r="129" spans="1:21" x14ac:dyDescent="0.35">
      <c r="A129" s="5" t="s">
        <v>50</v>
      </c>
      <c r="B129" s="5" t="s">
        <v>195</v>
      </c>
      <c r="C129" t="s">
        <v>48</v>
      </c>
      <c r="D129" t="s">
        <v>262</v>
      </c>
      <c r="E129" t="s">
        <v>23</v>
      </c>
      <c r="F129" t="s">
        <v>41</v>
      </c>
      <c r="G129" s="3">
        <v>40590</v>
      </c>
      <c r="H129">
        <v>466970717</v>
      </c>
      <c r="I129" s="3">
        <v>40620</v>
      </c>
      <c r="J129">
        <v>5867</v>
      </c>
      <c r="K129">
        <v>109.28</v>
      </c>
      <c r="L129">
        <v>35.840000000000003</v>
      </c>
      <c r="M129">
        <f t="shared" si="9"/>
        <v>641145.76</v>
      </c>
      <c r="N129">
        <f t="shared" si="10"/>
        <v>210273.28000000003</v>
      </c>
      <c r="O129">
        <f t="shared" si="11"/>
        <v>430872.48</v>
      </c>
      <c r="P129" s="6">
        <f t="shared" si="12"/>
        <v>0.67203513909224011</v>
      </c>
      <c r="Q129">
        <f t="shared" si="13"/>
        <v>30</v>
      </c>
      <c r="R129">
        <f t="shared" si="14"/>
        <v>2011</v>
      </c>
      <c r="S129" t="str">
        <f t="shared" si="15"/>
        <v>February</v>
      </c>
      <c r="T129">
        <f t="shared" si="16"/>
        <v>2</v>
      </c>
      <c r="U129" t="str">
        <f t="shared" si="17"/>
        <v>Medium Profit</v>
      </c>
    </row>
    <row r="130" spans="1:21" x14ac:dyDescent="0.35">
      <c r="A130" s="5" t="s">
        <v>50</v>
      </c>
      <c r="B130" s="5" t="s">
        <v>263</v>
      </c>
      <c r="C130" t="s">
        <v>21</v>
      </c>
      <c r="D130" t="s">
        <v>264</v>
      </c>
      <c r="E130" t="s">
        <v>29</v>
      </c>
      <c r="F130" t="s">
        <v>32</v>
      </c>
      <c r="G130" s="3">
        <v>41134</v>
      </c>
      <c r="H130">
        <v>845058763</v>
      </c>
      <c r="I130" s="3">
        <v>41174</v>
      </c>
      <c r="J130">
        <v>522</v>
      </c>
      <c r="K130">
        <v>437.2</v>
      </c>
      <c r="L130">
        <v>263.33</v>
      </c>
      <c r="M130">
        <f t="shared" si="9"/>
        <v>228218.4</v>
      </c>
      <c r="N130">
        <f t="shared" si="10"/>
        <v>137458.25999999998</v>
      </c>
      <c r="O130">
        <f t="shared" si="11"/>
        <v>90760.140000000014</v>
      </c>
      <c r="P130" s="6">
        <f t="shared" si="12"/>
        <v>0.3976898444647759</v>
      </c>
      <c r="Q130">
        <f t="shared" si="13"/>
        <v>40</v>
      </c>
      <c r="R130">
        <f t="shared" si="14"/>
        <v>2012</v>
      </c>
      <c r="S130" t="str">
        <f t="shared" si="15"/>
        <v>August</v>
      </c>
      <c r="T130">
        <f t="shared" si="16"/>
        <v>8</v>
      </c>
      <c r="U130" t="str">
        <f t="shared" si="17"/>
        <v>Low Profit</v>
      </c>
    </row>
    <row r="131" spans="1:21" x14ac:dyDescent="0.35">
      <c r="A131" s="5" t="s">
        <v>42</v>
      </c>
      <c r="B131" s="5" t="s">
        <v>159</v>
      </c>
      <c r="C131" t="s">
        <v>58</v>
      </c>
      <c r="D131" t="s">
        <v>265</v>
      </c>
      <c r="E131" t="s">
        <v>23</v>
      </c>
      <c r="F131" t="s">
        <v>66</v>
      </c>
      <c r="G131" s="3">
        <v>41879</v>
      </c>
      <c r="H131">
        <v>367050921</v>
      </c>
      <c r="I131" s="3">
        <v>41882</v>
      </c>
      <c r="J131">
        <v>7379</v>
      </c>
      <c r="K131">
        <v>152.58000000000001</v>
      </c>
      <c r="L131">
        <v>97.44</v>
      </c>
      <c r="M131">
        <f t="shared" ref="M131:M194" si="18">J131*K131</f>
        <v>1125887.82</v>
      </c>
      <c r="N131">
        <f t="shared" ref="N131:N194" si="19">J131*L131</f>
        <v>719009.76</v>
      </c>
      <c r="O131">
        <f t="shared" ref="O131:O194" si="20">M131-N131</f>
        <v>406878.06000000006</v>
      </c>
      <c r="P131" s="6">
        <f t="shared" ref="P131:P194" si="21">O131/M131</f>
        <v>0.36138419189933152</v>
      </c>
      <c r="Q131">
        <f t="shared" ref="Q131:Q194" si="22">I131-G131</f>
        <v>3</v>
      </c>
      <c r="R131">
        <f t="shared" ref="R131:R194" si="23">YEAR(G131)</f>
        <v>2014</v>
      </c>
      <c r="S131" t="str">
        <f t="shared" ref="S131:S194" si="24">TEXT(G131,"mmmm")</f>
        <v>August</v>
      </c>
      <c r="T131">
        <f t="shared" ref="T131:T194" si="25">MONTH(G131)</f>
        <v>8</v>
      </c>
      <c r="U131" t="str">
        <f t="shared" ref="U131:U194" si="26">IF(O131&gt;=500000,"High Profit",
IF(O131&gt;=100000,"Medium Profit","Low Profit"))</f>
        <v>Medium Profit</v>
      </c>
    </row>
    <row r="132" spans="1:21" x14ac:dyDescent="0.35">
      <c r="A132" s="5" t="s">
        <v>42</v>
      </c>
      <c r="B132" s="5" t="s">
        <v>150</v>
      </c>
      <c r="C132" t="s">
        <v>69</v>
      </c>
      <c r="D132" t="s">
        <v>266</v>
      </c>
      <c r="E132" t="s">
        <v>29</v>
      </c>
      <c r="F132" t="s">
        <v>66</v>
      </c>
      <c r="G132" s="3">
        <v>42235</v>
      </c>
      <c r="H132">
        <v>956433522</v>
      </c>
      <c r="I132" s="3">
        <v>42259</v>
      </c>
      <c r="J132">
        <v>8788</v>
      </c>
      <c r="K132">
        <v>651.21</v>
      </c>
      <c r="L132">
        <v>524.96</v>
      </c>
      <c r="M132">
        <f t="shared" si="18"/>
        <v>5722833.4800000004</v>
      </c>
      <c r="N132">
        <f t="shared" si="19"/>
        <v>4613348.4800000004</v>
      </c>
      <c r="O132">
        <f t="shared" si="20"/>
        <v>1109485</v>
      </c>
      <c r="P132" s="6">
        <f t="shared" si="21"/>
        <v>0.19386987300563566</v>
      </c>
      <c r="Q132">
        <f t="shared" si="22"/>
        <v>24</v>
      </c>
      <c r="R132">
        <f t="shared" si="23"/>
        <v>2015</v>
      </c>
      <c r="S132" t="str">
        <f t="shared" si="24"/>
        <v>August</v>
      </c>
      <c r="T132">
        <f t="shared" si="25"/>
        <v>8</v>
      </c>
      <c r="U132" t="str">
        <f t="shared" si="26"/>
        <v>High Profit</v>
      </c>
    </row>
    <row r="133" spans="1:21" x14ac:dyDescent="0.35">
      <c r="A133" s="5" t="s">
        <v>42</v>
      </c>
      <c r="B133" s="5" t="s">
        <v>267</v>
      </c>
      <c r="C133" t="s">
        <v>72</v>
      </c>
      <c r="D133" t="s">
        <v>268</v>
      </c>
      <c r="E133" t="s">
        <v>29</v>
      </c>
      <c r="F133" t="s">
        <v>32</v>
      </c>
      <c r="G133" s="3">
        <v>40622</v>
      </c>
      <c r="H133">
        <v>107005393</v>
      </c>
      <c r="I133" s="3">
        <v>40667</v>
      </c>
      <c r="J133">
        <v>4129</v>
      </c>
      <c r="K133">
        <v>47.45</v>
      </c>
      <c r="L133">
        <v>31.79</v>
      </c>
      <c r="M133">
        <f t="shared" si="18"/>
        <v>195921.05000000002</v>
      </c>
      <c r="N133">
        <f t="shared" si="19"/>
        <v>131260.91</v>
      </c>
      <c r="O133">
        <f t="shared" si="20"/>
        <v>64660.140000000014</v>
      </c>
      <c r="P133" s="6">
        <f t="shared" si="21"/>
        <v>0.33003161222339311</v>
      </c>
      <c r="Q133">
        <f t="shared" si="22"/>
        <v>45</v>
      </c>
      <c r="R133">
        <f t="shared" si="23"/>
        <v>2011</v>
      </c>
      <c r="S133" t="str">
        <f t="shared" si="24"/>
        <v>March</v>
      </c>
      <c r="T133">
        <f t="shared" si="25"/>
        <v>3</v>
      </c>
      <c r="U133" t="str">
        <f t="shared" si="26"/>
        <v>Low Profit</v>
      </c>
    </row>
    <row r="134" spans="1:21" x14ac:dyDescent="0.35">
      <c r="A134" s="5" t="s">
        <v>33</v>
      </c>
      <c r="B134" s="5" t="s">
        <v>231</v>
      </c>
      <c r="C134" t="s">
        <v>72</v>
      </c>
      <c r="D134" t="s">
        <v>269</v>
      </c>
      <c r="E134" t="s">
        <v>23</v>
      </c>
      <c r="F134" t="s">
        <v>32</v>
      </c>
      <c r="G134" s="3">
        <v>41380</v>
      </c>
      <c r="H134">
        <v>332877862</v>
      </c>
      <c r="I134" s="3">
        <v>41401</v>
      </c>
      <c r="J134">
        <v>4811</v>
      </c>
      <c r="K134">
        <v>47.45</v>
      </c>
      <c r="L134">
        <v>31.79</v>
      </c>
      <c r="M134">
        <f t="shared" si="18"/>
        <v>228281.95</v>
      </c>
      <c r="N134">
        <f t="shared" si="19"/>
        <v>152941.69</v>
      </c>
      <c r="O134">
        <f t="shared" si="20"/>
        <v>75340.260000000009</v>
      </c>
      <c r="P134" s="6">
        <f t="shared" si="21"/>
        <v>0.33003161222339306</v>
      </c>
      <c r="Q134">
        <f t="shared" si="22"/>
        <v>21</v>
      </c>
      <c r="R134">
        <f t="shared" si="23"/>
        <v>2013</v>
      </c>
      <c r="S134" t="str">
        <f t="shared" si="24"/>
        <v>April</v>
      </c>
      <c r="T134">
        <f t="shared" si="25"/>
        <v>4</v>
      </c>
      <c r="U134" t="str">
        <f t="shared" si="26"/>
        <v>Low Profit</v>
      </c>
    </row>
    <row r="135" spans="1:21" x14ac:dyDescent="0.35">
      <c r="A135" s="5" t="s">
        <v>42</v>
      </c>
      <c r="B135" s="5" t="s">
        <v>270</v>
      </c>
      <c r="C135" t="s">
        <v>30</v>
      </c>
      <c r="D135" t="s">
        <v>271</v>
      </c>
      <c r="E135" t="s">
        <v>29</v>
      </c>
      <c r="F135" t="s">
        <v>66</v>
      </c>
      <c r="G135" s="3">
        <v>42321</v>
      </c>
      <c r="H135">
        <v>618474757</v>
      </c>
      <c r="I135" s="3">
        <v>42369</v>
      </c>
      <c r="J135">
        <v>9279</v>
      </c>
      <c r="K135">
        <v>255.28</v>
      </c>
      <c r="L135">
        <v>159.41999999999999</v>
      </c>
      <c r="M135">
        <f t="shared" si="18"/>
        <v>2368743.12</v>
      </c>
      <c r="N135">
        <f t="shared" si="19"/>
        <v>1479258.18</v>
      </c>
      <c r="O135">
        <f t="shared" si="20"/>
        <v>889484.94000000018</v>
      </c>
      <c r="P135" s="6">
        <f t="shared" si="21"/>
        <v>0.37550924475086184</v>
      </c>
      <c r="Q135">
        <f t="shared" si="22"/>
        <v>48</v>
      </c>
      <c r="R135">
        <f t="shared" si="23"/>
        <v>2015</v>
      </c>
      <c r="S135" t="str">
        <f t="shared" si="24"/>
        <v>November</v>
      </c>
      <c r="T135">
        <f t="shared" si="25"/>
        <v>11</v>
      </c>
      <c r="U135" t="str">
        <f t="shared" si="26"/>
        <v>High Profit</v>
      </c>
    </row>
    <row r="136" spans="1:21" x14ac:dyDescent="0.35">
      <c r="A136" s="5" t="s">
        <v>42</v>
      </c>
      <c r="B136" s="5" t="s">
        <v>249</v>
      </c>
      <c r="C136" t="s">
        <v>60</v>
      </c>
      <c r="D136" t="s">
        <v>272</v>
      </c>
      <c r="E136" t="s">
        <v>29</v>
      </c>
      <c r="F136" t="s">
        <v>24</v>
      </c>
      <c r="G136" s="3">
        <v>41649</v>
      </c>
      <c r="H136">
        <v>468532407</v>
      </c>
      <c r="I136" s="3">
        <v>41681</v>
      </c>
      <c r="J136">
        <v>8006</v>
      </c>
      <c r="K136">
        <v>668.27</v>
      </c>
      <c r="L136">
        <v>502.54</v>
      </c>
      <c r="M136">
        <f t="shared" si="18"/>
        <v>5350169.62</v>
      </c>
      <c r="N136">
        <f t="shared" si="19"/>
        <v>4023335.24</v>
      </c>
      <c r="O136">
        <f t="shared" si="20"/>
        <v>1326834.3799999999</v>
      </c>
      <c r="P136" s="6">
        <f t="shared" si="21"/>
        <v>0.24799856345489096</v>
      </c>
      <c r="Q136">
        <f t="shared" si="22"/>
        <v>32</v>
      </c>
      <c r="R136">
        <f t="shared" si="23"/>
        <v>2014</v>
      </c>
      <c r="S136" t="str">
        <f t="shared" si="24"/>
        <v>January</v>
      </c>
      <c r="T136">
        <f t="shared" si="25"/>
        <v>1</v>
      </c>
      <c r="U136" t="str">
        <f t="shared" si="26"/>
        <v>High Profit</v>
      </c>
    </row>
    <row r="137" spans="1:21" x14ac:dyDescent="0.35">
      <c r="A137" s="5" t="s">
        <v>42</v>
      </c>
      <c r="B137" s="5" t="s">
        <v>273</v>
      </c>
      <c r="C137" t="s">
        <v>69</v>
      </c>
      <c r="D137" t="s">
        <v>274</v>
      </c>
      <c r="E137" t="s">
        <v>23</v>
      </c>
      <c r="F137" t="s">
        <v>24</v>
      </c>
      <c r="G137" s="3">
        <v>42103</v>
      </c>
      <c r="H137">
        <v>358099639</v>
      </c>
      <c r="I137" s="3">
        <v>42123</v>
      </c>
      <c r="J137">
        <v>8496</v>
      </c>
      <c r="K137">
        <v>651.21</v>
      </c>
      <c r="L137">
        <v>524.96</v>
      </c>
      <c r="M137">
        <f t="shared" si="18"/>
        <v>5532680.1600000001</v>
      </c>
      <c r="N137">
        <f t="shared" si="19"/>
        <v>4460060.16</v>
      </c>
      <c r="O137">
        <f t="shared" si="20"/>
        <v>1072620</v>
      </c>
      <c r="P137" s="6">
        <f t="shared" si="21"/>
        <v>0.19386987300563566</v>
      </c>
      <c r="Q137">
        <f t="shared" si="22"/>
        <v>20</v>
      </c>
      <c r="R137">
        <f t="shared" si="23"/>
        <v>2015</v>
      </c>
      <c r="S137" t="str">
        <f t="shared" si="24"/>
        <v>April</v>
      </c>
      <c r="T137">
        <f t="shared" si="25"/>
        <v>4</v>
      </c>
      <c r="U137" t="str">
        <f t="shared" si="26"/>
        <v>High Profit</v>
      </c>
    </row>
    <row r="138" spans="1:21" x14ac:dyDescent="0.35">
      <c r="A138" s="5" t="s">
        <v>37</v>
      </c>
      <c r="B138" s="5" t="s">
        <v>275</v>
      </c>
      <c r="C138" t="s">
        <v>60</v>
      </c>
      <c r="D138" t="s">
        <v>276</v>
      </c>
      <c r="E138" t="s">
        <v>29</v>
      </c>
      <c r="F138" t="s">
        <v>41</v>
      </c>
      <c r="G138" s="3">
        <v>41281</v>
      </c>
      <c r="H138">
        <v>382537782</v>
      </c>
      <c r="I138" s="3">
        <v>41301</v>
      </c>
      <c r="J138">
        <v>285</v>
      </c>
      <c r="K138">
        <v>668.27</v>
      </c>
      <c r="L138">
        <v>502.54</v>
      </c>
      <c r="M138">
        <f t="shared" si="18"/>
        <v>190456.94999999998</v>
      </c>
      <c r="N138">
        <f t="shared" si="19"/>
        <v>143223.9</v>
      </c>
      <c r="O138">
        <f t="shared" si="20"/>
        <v>47233.049999999988</v>
      </c>
      <c r="P138" s="6">
        <f t="shared" si="21"/>
        <v>0.24799856345489094</v>
      </c>
      <c r="Q138">
        <f t="shared" si="22"/>
        <v>20</v>
      </c>
      <c r="R138">
        <f t="shared" si="23"/>
        <v>2013</v>
      </c>
      <c r="S138" t="str">
        <f t="shared" si="24"/>
        <v>January</v>
      </c>
      <c r="T138">
        <f t="shared" si="25"/>
        <v>1</v>
      </c>
      <c r="U138" t="str">
        <f t="shared" si="26"/>
        <v>Low Profit</v>
      </c>
    </row>
    <row r="139" spans="1:21" x14ac:dyDescent="0.35">
      <c r="A139" s="5" t="s">
        <v>33</v>
      </c>
      <c r="B139" s="5" t="s">
        <v>143</v>
      </c>
      <c r="C139" t="s">
        <v>83</v>
      </c>
      <c r="D139" t="s">
        <v>277</v>
      </c>
      <c r="E139" t="s">
        <v>23</v>
      </c>
      <c r="F139" t="s">
        <v>41</v>
      </c>
      <c r="G139" s="3">
        <v>41317</v>
      </c>
      <c r="H139">
        <v>707520663</v>
      </c>
      <c r="I139" s="3">
        <v>41348</v>
      </c>
      <c r="J139">
        <v>9942</v>
      </c>
      <c r="K139">
        <v>81.73</v>
      </c>
      <c r="L139">
        <v>56.67</v>
      </c>
      <c r="M139">
        <f t="shared" si="18"/>
        <v>812559.66</v>
      </c>
      <c r="N139">
        <f t="shared" si="19"/>
        <v>563413.14</v>
      </c>
      <c r="O139">
        <f t="shared" si="20"/>
        <v>249146.52000000002</v>
      </c>
      <c r="P139" s="6">
        <f t="shared" si="21"/>
        <v>0.30661935641747218</v>
      </c>
      <c r="Q139">
        <f t="shared" si="22"/>
        <v>31</v>
      </c>
      <c r="R139">
        <f t="shared" si="23"/>
        <v>2013</v>
      </c>
      <c r="S139" t="str">
        <f t="shared" si="24"/>
        <v>February</v>
      </c>
      <c r="T139">
        <f t="shared" si="25"/>
        <v>2</v>
      </c>
      <c r="U139" t="str">
        <f t="shared" si="26"/>
        <v>Medium Profit</v>
      </c>
    </row>
    <row r="140" spans="1:21" x14ac:dyDescent="0.35">
      <c r="A140" s="5" t="s">
        <v>37</v>
      </c>
      <c r="B140" s="5" t="s">
        <v>278</v>
      </c>
      <c r="C140" t="s">
        <v>92</v>
      </c>
      <c r="D140" t="s">
        <v>279</v>
      </c>
      <c r="E140" t="s">
        <v>29</v>
      </c>
      <c r="F140" t="s">
        <v>24</v>
      </c>
      <c r="G140" s="3">
        <v>41971</v>
      </c>
      <c r="H140">
        <v>219034612</v>
      </c>
      <c r="I140" s="3">
        <v>41983</v>
      </c>
      <c r="J140">
        <v>6064</v>
      </c>
      <c r="K140">
        <v>421.89</v>
      </c>
      <c r="L140">
        <v>364.69</v>
      </c>
      <c r="M140">
        <f t="shared" si="18"/>
        <v>2558340.96</v>
      </c>
      <c r="N140">
        <f t="shared" si="19"/>
        <v>2211480.16</v>
      </c>
      <c r="O140">
        <f t="shared" si="20"/>
        <v>346860.79999999981</v>
      </c>
      <c r="P140" s="6">
        <f t="shared" si="21"/>
        <v>0.13558036455000111</v>
      </c>
      <c r="Q140">
        <f t="shared" si="22"/>
        <v>12</v>
      </c>
      <c r="R140">
        <f t="shared" si="23"/>
        <v>2014</v>
      </c>
      <c r="S140" t="str">
        <f t="shared" si="24"/>
        <v>November</v>
      </c>
      <c r="T140">
        <f t="shared" si="25"/>
        <v>11</v>
      </c>
      <c r="U140" t="str">
        <f t="shared" si="26"/>
        <v>Medium Profit</v>
      </c>
    </row>
    <row r="141" spans="1:21" x14ac:dyDescent="0.35">
      <c r="A141" s="5" t="s">
        <v>33</v>
      </c>
      <c r="B141" s="5" t="s">
        <v>85</v>
      </c>
      <c r="C141" t="s">
        <v>92</v>
      </c>
      <c r="D141" t="s">
        <v>280</v>
      </c>
      <c r="E141" t="s">
        <v>23</v>
      </c>
      <c r="F141" t="s">
        <v>24</v>
      </c>
      <c r="G141" s="3">
        <v>42007</v>
      </c>
      <c r="H141">
        <v>573378455</v>
      </c>
      <c r="I141" s="3">
        <v>42021</v>
      </c>
      <c r="J141">
        <v>4281</v>
      </c>
      <c r="K141">
        <v>421.89</v>
      </c>
      <c r="L141">
        <v>364.69</v>
      </c>
      <c r="M141">
        <f t="shared" si="18"/>
        <v>1806111.0899999999</v>
      </c>
      <c r="N141">
        <f t="shared" si="19"/>
        <v>1561237.89</v>
      </c>
      <c r="O141">
        <f t="shared" si="20"/>
        <v>244873.19999999995</v>
      </c>
      <c r="P141" s="6">
        <f t="shared" si="21"/>
        <v>0.13558036455000116</v>
      </c>
      <c r="Q141">
        <f t="shared" si="22"/>
        <v>14</v>
      </c>
      <c r="R141">
        <f t="shared" si="23"/>
        <v>2015</v>
      </c>
      <c r="S141" t="str">
        <f t="shared" si="24"/>
        <v>January</v>
      </c>
      <c r="T141">
        <f t="shared" si="25"/>
        <v>1</v>
      </c>
      <c r="U141" t="str">
        <f t="shared" si="26"/>
        <v>Medium Profit</v>
      </c>
    </row>
    <row r="142" spans="1:21" x14ac:dyDescent="0.35">
      <c r="A142" s="5" t="s">
        <v>42</v>
      </c>
      <c r="B142" s="5" t="s">
        <v>281</v>
      </c>
      <c r="C142" t="s">
        <v>83</v>
      </c>
      <c r="D142" t="s">
        <v>282</v>
      </c>
      <c r="E142" t="s">
        <v>29</v>
      </c>
      <c r="F142" t="s">
        <v>41</v>
      </c>
      <c r="G142" s="3">
        <v>40577</v>
      </c>
      <c r="H142">
        <v>347163522</v>
      </c>
      <c r="I142" s="3">
        <v>40624</v>
      </c>
      <c r="J142">
        <v>2256</v>
      </c>
      <c r="K142">
        <v>81.73</v>
      </c>
      <c r="L142">
        <v>56.67</v>
      </c>
      <c r="M142">
        <f t="shared" si="18"/>
        <v>184382.88</v>
      </c>
      <c r="N142">
        <f t="shared" si="19"/>
        <v>127847.52</v>
      </c>
      <c r="O142">
        <f t="shared" si="20"/>
        <v>56535.360000000001</v>
      </c>
      <c r="P142" s="6">
        <f t="shared" si="21"/>
        <v>0.30661935641747218</v>
      </c>
      <c r="Q142">
        <f t="shared" si="22"/>
        <v>47</v>
      </c>
      <c r="R142">
        <f t="shared" si="23"/>
        <v>2011</v>
      </c>
      <c r="S142" t="str">
        <f t="shared" si="24"/>
        <v>February</v>
      </c>
      <c r="T142">
        <f t="shared" si="25"/>
        <v>2</v>
      </c>
      <c r="U142" t="str">
        <f t="shared" si="26"/>
        <v>Low Profit</v>
      </c>
    </row>
    <row r="143" spans="1:21" x14ac:dyDescent="0.35">
      <c r="A143" s="5" t="s">
        <v>19</v>
      </c>
      <c r="B143" s="5" t="s">
        <v>283</v>
      </c>
      <c r="C143" t="s">
        <v>58</v>
      </c>
      <c r="D143" t="s">
        <v>284</v>
      </c>
      <c r="E143" t="s">
        <v>23</v>
      </c>
      <c r="F143" t="s">
        <v>24</v>
      </c>
      <c r="G143" s="3">
        <v>41373</v>
      </c>
      <c r="H143">
        <v>887313640</v>
      </c>
      <c r="I143" s="3">
        <v>41385</v>
      </c>
      <c r="J143">
        <v>4679</v>
      </c>
      <c r="K143">
        <v>152.58000000000001</v>
      </c>
      <c r="L143">
        <v>97.44</v>
      </c>
      <c r="M143">
        <f t="shared" si="18"/>
        <v>713921.82000000007</v>
      </c>
      <c r="N143">
        <f t="shared" si="19"/>
        <v>455921.76</v>
      </c>
      <c r="O143">
        <f t="shared" si="20"/>
        <v>258000.06000000006</v>
      </c>
      <c r="P143" s="6">
        <f t="shared" si="21"/>
        <v>0.36138419189933152</v>
      </c>
      <c r="Q143">
        <f t="shared" si="22"/>
        <v>12</v>
      </c>
      <c r="R143">
        <f t="shared" si="23"/>
        <v>2013</v>
      </c>
      <c r="S143" t="str">
        <f t="shared" si="24"/>
        <v>April</v>
      </c>
      <c r="T143">
        <f t="shared" si="25"/>
        <v>4</v>
      </c>
      <c r="U143" t="str">
        <f t="shared" si="26"/>
        <v>Medium Profit</v>
      </c>
    </row>
    <row r="144" spans="1:21" x14ac:dyDescent="0.35">
      <c r="A144" s="5" t="s">
        <v>42</v>
      </c>
      <c r="B144" s="5" t="s">
        <v>285</v>
      </c>
      <c r="C144" t="s">
        <v>21</v>
      </c>
      <c r="D144" t="s">
        <v>286</v>
      </c>
      <c r="E144" t="s">
        <v>29</v>
      </c>
      <c r="F144" t="s">
        <v>41</v>
      </c>
      <c r="G144" s="3">
        <v>42942</v>
      </c>
      <c r="H144">
        <v>461065137</v>
      </c>
      <c r="I144" s="3">
        <v>42966</v>
      </c>
      <c r="J144">
        <v>8275</v>
      </c>
      <c r="K144">
        <v>437.2</v>
      </c>
      <c r="L144">
        <v>263.33</v>
      </c>
      <c r="M144">
        <f t="shared" si="18"/>
        <v>3617830</v>
      </c>
      <c r="N144">
        <f t="shared" si="19"/>
        <v>2179055.75</v>
      </c>
      <c r="O144">
        <f t="shared" si="20"/>
        <v>1438774.25</v>
      </c>
      <c r="P144" s="6">
        <f t="shared" si="21"/>
        <v>0.39768984446477584</v>
      </c>
      <c r="Q144">
        <f t="shared" si="22"/>
        <v>24</v>
      </c>
      <c r="R144">
        <f t="shared" si="23"/>
        <v>2017</v>
      </c>
      <c r="S144" t="str">
        <f t="shared" si="24"/>
        <v>July</v>
      </c>
      <c r="T144">
        <f t="shared" si="25"/>
        <v>7</v>
      </c>
      <c r="U144" t="str">
        <f t="shared" si="26"/>
        <v>High Profit</v>
      </c>
    </row>
    <row r="145" spans="1:21" x14ac:dyDescent="0.35">
      <c r="A145" s="5" t="s">
        <v>37</v>
      </c>
      <c r="B145" s="5" t="s">
        <v>208</v>
      </c>
      <c r="C145" t="s">
        <v>39</v>
      </c>
      <c r="D145" t="s">
        <v>287</v>
      </c>
      <c r="E145" t="s">
        <v>23</v>
      </c>
      <c r="F145" t="s">
        <v>41</v>
      </c>
      <c r="G145" s="3">
        <v>42840</v>
      </c>
      <c r="H145">
        <v>105966842</v>
      </c>
      <c r="I145" s="3">
        <v>42874</v>
      </c>
      <c r="J145">
        <v>6798</v>
      </c>
      <c r="K145">
        <v>9.33</v>
      </c>
      <c r="L145">
        <v>6.92</v>
      </c>
      <c r="M145">
        <f t="shared" si="18"/>
        <v>63425.340000000004</v>
      </c>
      <c r="N145">
        <f t="shared" si="19"/>
        <v>47042.159999999996</v>
      </c>
      <c r="O145">
        <f t="shared" si="20"/>
        <v>16383.180000000008</v>
      </c>
      <c r="P145" s="6">
        <f t="shared" si="21"/>
        <v>0.25830653804930342</v>
      </c>
      <c r="Q145">
        <f t="shared" si="22"/>
        <v>34</v>
      </c>
      <c r="R145">
        <f t="shared" si="23"/>
        <v>2017</v>
      </c>
      <c r="S145" t="str">
        <f t="shared" si="24"/>
        <v>April</v>
      </c>
      <c r="T145">
        <f t="shared" si="25"/>
        <v>4</v>
      </c>
      <c r="U145" t="str">
        <f t="shared" si="26"/>
        <v>Low Profit</v>
      </c>
    </row>
    <row r="146" spans="1:21" x14ac:dyDescent="0.35">
      <c r="A146" s="5" t="s">
        <v>42</v>
      </c>
      <c r="B146" s="5" t="s">
        <v>80</v>
      </c>
      <c r="C146" t="s">
        <v>30</v>
      </c>
      <c r="D146" t="s">
        <v>288</v>
      </c>
      <c r="E146" t="s">
        <v>29</v>
      </c>
      <c r="F146" t="s">
        <v>24</v>
      </c>
      <c r="G146" s="3">
        <v>41775</v>
      </c>
      <c r="H146">
        <v>479880082</v>
      </c>
      <c r="I146" s="3">
        <v>41782</v>
      </c>
      <c r="J146">
        <v>6035</v>
      </c>
      <c r="K146">
        <v>255.28</v>
      </c>
      <c r="L146">
        <v>159.41999999999999</v>
      </c>
      <c r="M146">
        <f t="shared" si="18"/>
        <v>1540614.8</v>
      </c>
      <c r="N146">
        <f t="shared" si="19"/>
        <v>962099.7</v>
      </c>
      <c r="O146">
        <f t="shared" si="20"/>
        <v>578515.10000000009</v>
      </c>
      <c r="P146" s="6">
        <f t="shared" si="21"/>
        <v>0.37550924475086184</v>
      </c>
      <c r="Q146">
        <f t="shared" si="22"/>
        <v>7</v>
      </c>
      <c r="R146">
        <f t="shared" si="23"/>
        <v>2014</v>
      </c>
      <c r="S146" t="str">
        <f t="shared" si="24"/>
        <v>May</v>
      </c>
      <c r="T146">
        <f t="shared" si="25"/>
        <v>5</v>
      </c>
      <c r="U146" t="str">
        <f t="shared" si="26"/>
        <v>High Profit</v>
      </c>
    </row>
    <row r="147" spans="1:21" x14ac:dyDescent="0.35">
      <c r="A147" s="5" t="s">
        <v>33</v>
      </c>
      <c r="B147" s="5" t="s">
        <v>289</v>
      </c>
      <c r="C147" t="s">
        <v>30</v>
      </c>
      <c r="D147" t="s">
        <v>290</v>
      </c>
      <c r="E147" t="s">
        <v>29</v>
      </c>
      <c r="F147" t="s">
        <v>41</v>
      </c>
      <c r="G147" s="3">
        <v>42228</v>
      </c>
      <c r="H147">
        <v>510978686</v>
      </c>
      <c r="I147" s="3">
        <v>42277</v>
      </c>
      <c r="J147">
        <v>8803</v>
      </c>
      <c r="K147">
        <v>255.28</v>
      </c>
      <c r="L147">
        <v>159.41999999999999</v>
      </c>
      <c r="M147">
        <f t="shared" si="18"/>
        <v>2247229.84</v>
      </c>
      <c r="N147">
        <f t="shared" si="19"/>
        <v>1403374.2599999998</v>
      </c>
      <c r="O147">
        <f t="shared" si="20"/>
        <v>843855.58000000007</v>
      </c>
      <c r="P147" s="6">
        <f t="shared" si="21"/>
        <v>0.37550924475086184</v>
      </c>
      <c r="Q147">
        <f t="shared" si="22"/>
        <v>49</v>
      </c>
      <c r="R147">
        <f t="shared" si="23"/>
        <v>2015</v>
      </c>
      <c r="S147" t="str">
        <f t="shared" si="24"/>
        <v>August</v>
      </c>
      <c r="T147">
        <f t="shared" si="25"/>
        <v>8</v>
      </c>
      <c r="U147" t="str">
        <f t="shared" si="26"/>
        <v>High Profit</v>
      </c>
    </row>
    <row r="148" spans="1:21" x14ac:dyDescent="0.35">
      <c r="A148" s="5" t="s">
        <v>42</v>
      </c>
      <c r="B148" s="5" t="s">
        <v>285</v>
      </c>
      <c r="C148" t="s">
        <v>58</v>
      </c>
      <c r="D148" t="s">
        <v>291</v>
      </c>
      <c r="E148" t="s">
        <v>23</v>
      </c>
      <c r="F148" t="s">
        <v>32</v>
      </c>
      <c r="G148" s="3">
        <v>41537</v>
      </c>
      <c r="H148">
        <v>547748982</v>
      </c>
      <c r="I148" s="3">
        <v>41561</v>
      </c>
      <c r="J148">
        <v>9951</v>
      </c>
      <c r="K148">
        <v>152.58000000000001</v>
      </c>
      <c r="L148">
        <v>97.44</v>
      </c>
      <c r="M148">
        <f t="shared" si="18"/>
        <v>1518323.58</v>
      </c>
      <c r="N148">
        <f t="shared" si="19"/>
        <v>969625.44</v>
      </c>
      <c r="O148">
        <f t="shared" si="20"/>
        <v>548698.14000000013</v>
      </c>
      <c r="P148" s="6">
        <f t="shared" si="21"/>
        <v>0.36138419189933157</v>
      </c>
      <c r="Q148">
        <f t="shared" si="22"/>
        <v>24</v>
      </c>
      <c r="R148">
        <f t="shared" si="23"/>
        <v>2013</v>
      </c>
      <c r="S148" t="str">
        <f t="shared" si="24"/>
        <v>September</v>
      </c>
      <c r="T148">
        <f t="shared" si="25"/>
        <v>9</v>
      </c>
      <c r="U148" t="str">
        <f t="shared" si="26"/>
        <v>High Profit</v>
      </c>
    </row>
    <row r="149" spans="1:21" x14ac:dyDescent="0.35">
      <c r="A149" s="5" t="s">
        <v>37</v>
      </c>
      <c r="B149" s="5" t="s">
        <v>260</v>
      </c>
      <c r="C149" t="s">
        <v>35</v>
      </c>
      <c r="D149" t="s">
        <v>292</v>
      </c>
      <c r="E149" t="s">
        <v>23</v>
      </c>
      <c r="F149" t="s">
        <v>24</v>
      </c>
      <c r="G149" s="3">
        <v>41578</v>
      </c>
      <c r="H149">
        <v>108989799</v>
      </c>
      <c r="I149" s="3">
        <v>41617</v>
      </c>
      <c r="J149">
        <v>1358</v>
      </c>
      <c r="K149">
        <v>205.7</v>
      </c>
      <c r="L149">
        <v>117.11</v>
      </c>
      <c r="M149">
        <f t="shared" si="18"/>
        <v>279340.59999999998</v>
      </c>
      <c r="N149">
        <f t="shared" si="19"/>
        <v>159035.38</v>
      </c>
      <c r="O149">
        <f t="shared" si="20"/>
        <v>120305.21999999997</v>
      </c>
      <c r="P149" s="6">
        <f t="shared" si="21"/>
        <v>0.43067574137092846</v>
      </c>
      <c r="Q149">
        <f t="shared" si="22"/>
        <v>39</v>
      </c>
      <c r="R149">
        <f t="shared" si="23"/>
        <v>2013</v>
      </c>
      <c r="S149" t="str">
        <f t="shared" si="24"/>
        <v>October</v>
      </c>
      <c r="T149">
        <f t="shared" si="25"/>
        <v>10</v>
      </c>
      <c r="U149" t="str">
        <f t="shared" si="26"/>
        <v>Medium Profit</v>
      </c>
    </row>
    <row r="150" spans="1:21" x14ac:dyDescent="0.35">
      <c r="A150" s="5" t="s">
        <v>37</v>
      </c>
      <c r="B150" s="5" t="s">
        <v>225</v>
      </c>
      <c r="C150" t="s">
        <v>35</v>
      </c>
      <c r="D150" t="s">
        <v>293</v>
      </c>
      <c r="E150" t="s">
        <v>23</v>
      </c>
      <c r="F150" t="s">
        <v>24</v>
      </c>
      <c r="G150" s="3">
        <v>41850</v>
      </c>
      <c r="H150">
        <v>133812463</v>
      </c>
      <c r="I150" s="3">
        <v>41860</v>
      </c>
      <c r="J150">
        <v>6936</v>
      </c>
      <c r="K150">
        <v>205.7</v>
      </c>
      <c r="L150">
        <v>117.11</v>
      </c>
      <c r="M150">
        <f t="shared" si="18"/>
        <v>1426735.2</v>
      </c>
      <c r="N150">
        <f t="shared" si="19"/>
        <v>812274.96</v>
      </c>
      <c r="O150">
        <f t="shared" si="20"/>
        <v>614460.24</v>
      </c>
      <c r="P150" s="6">
        <f t="shared" si="21"/>
        <v>0.43067574137092857</v>
      </c>
      <c r="Q150">
        <f t="shared" si="22"/>
        <v>10</v>
      </c>
      <c r="R150">
        <f t="shared" si="23"/>
        <v>2014</v>
      </c>
      <c r="S150" t="str">
        <f t="shared" si="24"/>
        <v>July</v>
      </c>
      <c r="T150">
        <f t="shared" si="25"/>
        <v>7</v>
      </c>
      <c r="U150" t="str">
        <f t="shared" si="26"/>
        <v>High Profit</v>
      </c>
    </row>
    <row r="151" spans="1:21" x14ac:dyDescent="0.35">
      <c r="A151" s="5" t="s">
        <v>37</v>
      </c>
      <c r="B151" s="5" t="s">
        <v>278</v>
      </c>
      <c r="C151" t="s">
        <v>39</v>
      </c>
      <c r="D151" t="s">
        <v>294</v>
      </c>
      <c r="E151" t="s">
        <v>23</v>
      </c>
      <c r="F151" t="s">
        <v>66</v>
      </c>
      <c r="G151" s="3">
        <v>40859</v>
      </c>
      <c r="H151">
        <v>731640803</v>
      </c>
      <c r="I151" s="3">
        <v>40907</v>
      </c>
      <c r="J151">
        <v>7627</v>
      </c>
      <c r="K151">
        <v>9.33</v>
      </c>
      <c r="L151">
        <v>6.92</v>
      </c>
      <c r="M151">
        <f t="shared" si="18"/>
        <v>71159.91</v>
      </c>
      <c r="N151">
        <f t="shared" si="19"/>
        <v>52778.84</v>
      </c>
      <c r="O151">
        <f t="shared" si="20"/>
        <v>18381.070000000007</v>
      </c>
      <c r="P151" s="6">
        <f t="shared" si="21"/>
        <v>0.25830653804930342</v>
      </c>
      <c r="Q151">
        <f t="shared" si="22"/>
        <v>48</v>
      </c>
      <c r="R151">
        <f t="shared" si="23"/>
        <v>2011</v>
      </c>
      <c r="S151" t="str">
        <f t="shared" si="24"/>
        <v>November</v>
      </c>
      <c r="T151">
        <f t="shared" si="25"/>
        <v>11</v>
      </c>
      <c r="U151" t="str">
        <f t="shared" si="26"/>
        <v>Low Profit</v>
      </c>
    </row>
    <row r="152" spans="1:21" x14ac:dyDescent="0.35">
      <c r="A152" s="5" t="s">
        <v>42</v>
      </c>
      <c r="B152" s="5" t="s">
        <v>223</v>
      </c>
      <c r="C152" t="s">
        <v>58</v>
      </c>
      <c r="D152" t="s">
        <v>295</v>
      </c>
      <c r="E152" t="s">
        <v>23</v>
      </c>
      <c r="F152" t="s">
        <v>32</v>
      </c>
      <c r="G152" s="3">
        <v>40262</v>
      </c>
      <c r="H152">
        <v>732211148</v>
      </c>
      <c r="I152" s="3">
        <v>40282</v>
      </c>
      <c r="J152">
        <v>6405</v>
      </c>
      <c r="K152">
        <v>152.58000000000001</v>
      </c>
      <c r="L152">
        <v>97.44</v>
      </c>
      <c r="M152">
        <f t="shared" si="18"/>
        <v>977274.9</v>
      </c>
      <c r="N152">
        <f t="shared" si="19"/>
        <v>624103.19999999995</v>
      </c>
      <c r="O152">
        <f t="shared" si="20"/>
        <v>353171.70000000007</v>
      </c>
      <c r="P152" s="6">
        <f t="shared" si="21"/>
        <v>0.36138419189933157</v>
      </c>
      <c r="Q152">
        <f t="shared" si="22"/>
        <v>20</v>
      </c>
      <c r="R152">
        <f t="shared" si="23"/>
        <v>2010</v>
      </c>
      <c r="S152" t="str">
        <f t="shared" si="24"/>
        <v>March</v>
      </c>
      <c r="T152">
        <f t="shared" si="25"/>
        <v>3</v>
      </c>
      <c r="U152" t="str">
        <f t="shared" si="26"/>
        <v>Medium Profit</v>
      </c>
    </row>
    <row r="153" spans="1:21" x14ac:dyDescent="0.35">
      <c r="A153" s="5" t="s">
        <v>50</v>
      </c>
      <c r="B153" s="5" t="s">
        <v>296</v>
      </c>
      <c r="C153" t="s">
        <v>35</v>
      </c>
      <c r="D153" t="s">
        <v>297</v>
      </c>
      <c r="E153" t="s">
        <v>29</v>
      </c>
      <c r="F153" t="s">
        <v>24</v>
      </c>
      <c r="G153" s="3">
        <v>40728</v>
      </c>
      <c r="H153">
        <v>835572326</v>
      </c>
      <c r="I153" s="3">
        <v>40763</v>
      </c>
      <c r="J153">
        <v>3274</v>
      </c>
      <c r="K153">
        <v>205.7</v>
      </c>
      <c r="L153">
        <v>117.11</v>
      </c>
      <c r="M153">
        <f t="shared" si="18"/>
        <v>673461.79999999993</v>
      </c>
      <c r="N153">
        <f t="shared" si="19"/>
        <v>383418.14</v>
      </c>
      <c r="O153">
        <f t="shared" si="20"/>
        <v>290043.65999999992</v>
      </c>
      <c r="P153" s="6">
        <f t="shared" si="21"/>
        <v>0.43067574137092846</v>
      </c>
      <c r="Q153">
        <f t="shared" si="22"/>
        <v>35</v>
      </c>
      <c r="R153">
        <f t="shared" si="23"/>
        <v>2011</v>
      </c>
      <c r="S153" t="str">
        <f t="shared" si="24"/>
        <v>July</v>
      </c>
      <c r="T153">
        <f t="shared" si="25"/>
        <v>7</v>
      </c>
      <c r="U153" t="str">
        <f t="shared" si="26"/>
        <v>Medium Profit</v>
      </c>
    </row>
    <row r="154" spans="1:21" x14ac:dyDescent="0.35">
      <c r="A154" s="5" t="s">
        <v>42</v>
      </c>
      <c r="B154" s="5" t="s">
        <v>68</v>
      </c>
      <c r="C154" t="s">
        <v>30</v>
      </c>
      <c r="D154" t="s">
        <v>298</v>
      </c>
      <c r="E154" t="s">
        <v>23</v>
      </c>
      <c r="F154" t="s">
        <v>32</v>
      </c>
      <c r="G154" s="3">
        <v>40544</v>
      </c>
      <c r="H154">
        <v>462085664</v>
      </c>
      <c r="I154" s="3">
        <v>40558</v>
      </c>
      <c r="J154">
        <v>271</v>
      </c>
      <c r="K154">
        <v>255.28</v>
      </c>
      <c r="L154">
        <v>159.41999999999999</v>
      </c>
      <c r="M154">
        <f t="shared" si="18"/>
        <v>69180.88</v>
      </c>
      <c r="N154">
        <f t="shared" si="19"/>
        <v>43202.82</v>
      </c>
      <c r="O154">
        <f t="shared" si="20"/>
        <v>25978.060000000005</v>
      </c>
      <c r="P154" s="6">
        <f t="shared" si="21"/>
        <v>0.37550924475086184</v>
      </c>
      <c r="Q154">
        <f t="shared" si="22"/>
        <v>14</v>
      </c>
      <c r="R154">
        <f t="shared" si="23"/>
        <v>2011</v>
      </c>
      <c r="S154" t="str">
        <f t="shared" si="24"/>
        <v>January</v>
      </c>
      <c r="T154">
        <f t="shared" si="25"/>
        <v>1</v>
      </c>
      <c r="U154" t="str">
        <f t="shared" si="26"/>
        <v>Low Profit</v>
      </c>
    </row>
    <row r="155" spans="1:21" x14ac:dyDescent="0.35">
      <c r="A155" s="5" t="s">
        <v>42</v>
      </c>
      <c r="B155" s="5" t="s">
        <v>68</v>
      </c>
      <c r="C155" t="s">
        <v>48</v>
      </c>
      <c r="D155" t="s">
        <v>299</v>
      </c>
      <c r="E155" t="s">
        <v>29</v>
      </c>
      <c r="F155" t="s">
        <v>32</v>
      </c>
      <c r="G155" s="3">
        <v>42537</v>
      </c>
      <c r="H155">
        <v>902424991</v>
      </c>
      <c r="I155" s="3">
        <v>42555</v>
      </c>
      <c r="J155">
        <v>6463</v>
      </c>
      <c r="K155">
        <v>109.28</v>
      </c>
      <c r="L155">
        <v>35.840000000000003</v>
      </c>
      <c r="M155">
        <f t="shared" si="18"/>
        <v>706276.64</v>
      </c>
      <c r="N155">
        <f t="shared" si="19"/>
        <v>231633.92000000001</v>
      </c>
      <c r="O155">
        <f t="shared" si="20"/>
        <v>474642.72</v>
      </c>
      <c r="P155" s="6">
        <f t="shared" si="21"/>
        <v>0.67203513909224011</v>
      </c>
      <c r="Q155">
        <f t="shared" si="22"/>
        <v>18</v>
      </c>
      <c r="R155">
        <f t="shared" si="23"/>
        <v>2016</v>
      </c>
      <c r="S155" t="str">
        <f t="shared" si="24"/>
        <v>June</v>
      </c>
      <c r="T155">
        <f t="shared" si="25"/>
        <v>6</v>
      </c>
      <c r="U155" t="str">
        <f t="shared" si="26"/>
        <v>Medium Profit</v>
      </c>
    </row>
    <row r="156" spans="1:21" x14ac:dyDescent="0.35">
      <c r="A156" s="5" t="s">
        <v>42</v>
      </c>
      <c r="B156" s="5" t="s">
        <v>300</v>
      </c>
      <c r="C156" t="s">
        <v>39</v>
      </c>
      <c r="D156" t="s">
        <v>301</v>
      </c>
      <c r="E156" t="s">
        <v>23</v>
      </c>
      <c r="F156" t="s">
        <v>41</v>
      </c>
      <c r="G156" s="3">
        <v>41625</v>
      </c>
      <c r="H156">
        <v>367576634</v>
      </c>
      <c r="I156" s="3">
        <v>41644</v>
      </c>
      <c r="J156">
        <v>2949</v>
      </c>
      <c r="K156">
        <v>9.33</v>
      </c>
      <c r="L156">
        <v>6.92</v>
      </c>
      <c r="M156">
        <f t="shared" si="18"/>
        <v>27514.170000000002</v>
      </c>
      <c r="N156">
        <f t="shared" si="19"/>
        <v>20407.079999999998</v>
      </c>
      <c r="O156">
        <f t="shared" si="20"/>
        <v>7107.0900000000038</v>
      </c>
      <c r="P156" s="6">
        <f t="shared" si="21"/>
        <v>0.25830653804930342</v>
      </c>
      <c r="Q156">
        <f t="shared" si="22"/>
        <v>19</v>
      </c>
      <c r="R156">
        <f t="shared" si="23"/>
        <v>2013</v>
      </c>
      <c r="S156" t="str">
        <f t="shared" si="24"/>
        <v>December</v>
      </c>
      <c r="T156">
        <f t="shared" si="25"/>
        <v>12</v>
      </c>
      <c r="U156" t="str">
        <f t="shared" si="26"/>
        <v>Low Profit</v>
      </c>
    </row>
    <row r="157" spans="1:21" x14ac:dyDescent="0.35">
      <c r="A157" s="5" t="s">
        <v>37</v>
      </c>
      <c r="B157" s="5" t="s">
        <v>302</v>
      </c>
      <c r="C157" t="s">
        <v>92</v>
      </c>
      <c r="D157" t="s">
        <v>303</v>
      </c>
      <c r="E157" t="s">
        <v>23</v>
      </c>
      <c r="F157" t="s">
        <v>41</v>
      </c>
      <c r="G157" s="3">
        <v>42795</v>
      </c>
      <c r="H157">
        <v>738839423</v>
      </c>
      <c r="I157" s="3">
        <v>42825</v>
      </c>
      <c r="J157">
        <v>7859</v>
      </c>
      <c r="K157">
        <v>421.89</v>
      </c>
      <c r="L157">
        <v>364.69</v>
      </c>
      <c r="M157">
        <f t="shared" si="18"/>
        <v>3315633.51</v>
      </c>
      <c r="N157">
        <f t="shared" si="19"/>
        <v>2866098.71</v>
      </c>
      <c r="O157">
        <f t="shared" si="20"/>
        <v>449534.79999999981</v>
      </c>
      <c r="P157" s="6">
        <f t="shared" si="21"/>
        <v>0.13558036455000114</v>
      </c>
      <c r="Q157">
        <f t="shared" si="22"/>
        <v>30</v>
      </c>
      <c r="R157">
        <f t="shared" si="23"/>
        <v>2017</v>
      </c>
      <c r="S157" t="str">
        <f t="shared" si="24"/>
        <v>March</v>
      </c>
      <c r="T157">
        <f t="shared" si="25"/>
        <v>3</v>
      </c>
      <c r="U157" t="str">
        <f t="shared" si="26"/>
        <v>Medium Profit</v>
      </c>
    </row>
    <row r="158" spans="1:21" x14ac:dyDescent="0.35">
      <c r="A158" s="5" t="s">
        <v>42</v>
      </c>
      <c r="B158" s="5" t="s">
        <v>198</v>
      </c>
      <c r="C158" t="s">
        <v>30</v>
      </c>
      <c r="D158" t="s">
        <v>304</v>
      </c>
      <c r="E158" t="s">
        <v>29</v>
      </c>
      <c r="F158" t="s">
        <v>32</v>
      </c>
      <c r="G158" s="3">
        <v>40361</v>
      </c>
      <c r="H158">
        <v>817824685</v>
      </c>
      <c r="I158" s="3">
        <v>40386</v>
      </c>
      <c r="J158">
        <v>1353</v>
      </c>
      <c r="K158">
        <v>255.28</v>
      </c>
      <c r="L158">
        <v>159.41999999999999</v>
      </c>
      <c r="M158">
        <f t="shared" si="18"/>
        <v>345393.84</v>
      </c>
      <c r="N158">
        <f t="shared" si="19"/>
        <v>215695.25999999998</v>
      </c>
      <c r="O158">
        <f t="shared" si="20"/>
        <v>129698.58000000005</v>
      </c>
      <c r="P158" s="6">
        <f t="shared" si="21"/>
        <v>0.37550924475086189</v>
      </c>
      <c r="Q158">
        <f t="shared" si="22"/>
        <v>25</v>
      </c>
      <c r="R158">
        <f t="shared" si="23"/>
        <v>2010</v>
      </c>
      <c r="S158" t="str">
        <f t="shared" si="24"/>
        <v>July</v>
      </c>
      <c r="T158">
        <f t="shared" si="25"/>
        <v>7</v>
      </c>
      <c r="U158" t="str">
        <f t="shared" si="26"/>
        <v>Medium Profit</v>
      </c>
    </row>
    <row r="159" spans="1:21" x14ac:dyDescent="0.35">
      <c r="A159" s="5" t="s">
        <v>37</v>
      </c>
      <c r="B159" s="5" t="s">
        <v>305</v>
      </c>
      <c r="C159" t="s">
        <v>58</v>
      </c>
      <c r="D159" t="s">
        <v>306</v>
      </c>
      <c r="E159" t="s">
        <v>29</v>
      </c>
      <c r="F159" t="s">
        <v>32</v>
      </c>
      <c r="G159" s="3">
        <v>41471</v>
      </c>
      <c r="H159">
        <v>376456248</v>
      </c>
      <c r="I159" s="3">
        <v>41487</v>
      </c>
      <c r="J159">
        <v>624</v>
      </c>
      <c r="K159">
        <v>152.58000000000001</v>
      </c>
      <c r="L159">
        <v>97.44</v>
      </c>
      <c r="M159">
        <f t="shared" si="18"/>
        <v>95209.920000000013</v>
      </c>
      <c r="N159">
        <f t="shared" si="19"/>
        <v>60802.559999999998</v>
      </c>
      <c r="O159">
        <f t="shared" si="20"/>
        <v>34407.360000000015</v>
      </c>
      <c r="P159" s="6">
        <f t="shared" si="21"/>
        <v>0.36138419189933163</v>
      </c>
      <c r="Q159">
        <f t="shared" si="22"/>
        <v>16</v>
      </c>
      <c r="R159">
        <f t="shared" si="23"/>
        <v>2013</v>
      </c>
      <c r="S159" t="str">
        <f t="shared" si="24"/>
        <v>July</v>
      </c>
      <c r="T159">
        <f t="shared" si="25"/>
        <v>7</v>
      </c>
      <c r="U159" t="str">
        <f t="shared" si="26"/>
        <v>Low Profit</v>
      </c>
    </row>
    <row r="160" spans="1:21" x14ac:dyDescent="0.35">
      <c r="A160" s="5" t="s">
        <v>33</v>
      </c>
      <c r="B160" s="5" t="s">
        <v>243</v>
      </c>
      <c r="C160" t="s">
        <v>69</v>
      </c>
      <c r="D160" t="s">
        <v>307</v>
      </c>
      <c r="E160" t="s">
        <v>29</v>
      </c>
      <c r="F160" t="s">
        <v>41</v>
      </c>
      <c r="G160" s="3">
        <v>42598</v>
      </c>
      <c r="H160">
        <v>606970441</v>
      </c>
      <c r="I160" s="3">
        <v>42629</v>
      </c>
      <c r="J160">
        <v>4897</v>
      </c>
      <c r="K160">
        <v>651.21</v>
      </c>
      <c r="L160">
        <v>524.96</v>
      </c>
      <c r="M160">
        <f t="shared" si="18"/>
        <v>3188975.37</v>
      </c>
      <c r="N160">
        <f t="shared" si="19"/>
        <v>2570729.12</v>
      </c>
      <c r="O160">
        <f t="shared" si="20"/>
        <v>618246.25</v>
      </c>
      <c r="P160" s="6">
        <f t="shared" si="21"/>
        <v>0.19386987300563566</v>
      </c>
      <c r="Q160">
        <f t="shared" si="22"/>
        <v>31</v>
      </c>
      <c r="R160">
        <f t="shared" si="23"/>
        <v>2016</v>
      </c>
      <c r="S160" t="str">
        <f t="shared" si="24"/>
        <v>August</v>
      </c>
      <c r="T160">
        <f t="shared" si="25"/>
        <v>8</v>
      </c>
      <c r="U160" t="str">
        <f t="shared" si="26"/>
        <v>High Profit</v>
      </c>
    </row>
    <row r="161" spans="1:21" x14ac:dyDescent="0.35">
      <c r="A161" s="5" t="s">
        <v>42</v>
      </c>
      <c r="B161" s="5" t="s">
        <v>308</v>
      </c>
      <c r="C161" t="s">
        <v>92</v>
      </c>
      <c r="D161" t="s">
        <v>309</v>
      </c>
      <c r="E161" t="s">
        <v>23</v>
      </c>
      <c r="F161" t="s">
        <v>66</v>
      </c>
      <c r="G161" s="3">
        <v>41989</v>
      </c>
      <c r="H161">
        <v>971916091</v>
      </c>
      <c r="I161" s="3">
        <v>42023</v>
      </c>
      <c r="J161">
        <v>424</v>
      </c>
      <c r="K161">
        <v>421.89</v>
      </c>
      <c r="L161">
        <v>364.69</v>
      </c>
      <c r="M161">
        <f t="shared" si="18"/>
        <v>178881.36</v>
      </c>
      <c r="N161">
        <f t="shared" si="19"/>
        <v>154628.56</v>
      </c>
      <c r="O161">
        <f t="shared" si="20"/>
        <v>24252.799999999988</v>
      </c>
      <c r="P161" s="6">
        <f t="shared" si="21"/>
        <v>0.13558036455000114</v>
      </c>
      <c r="Q161">
        <f t="shared" si="22"/>
        <v>34</v>
      </c>
      <c r="R161">
        <f t="shared" si="23"/>
        <v>2014</v>
      </c>
      <c r="S161" t="str">
        <f t="shared" si="24"/>
        <v>December</v>
      </c>
      <c r="T161">
        <f t="shared" si="25"/>
        <v>12</v>
      </c>
      <c r="U161" t="str">
        <f t="shared" si="26"/>
        <v>Low Profit</v>
      </c>
    </row>
    <row r="162" spans="1:21" x14ac:dyDescent="0.35">
      <c r="A162" s="5" t="s">
        <v>19</v>
      </c>
      <c r="B162" s="5" t="s">
        <v>310</v>
      </c>
      <c r="C162" t="s">
        <v>69</v>
      </c>
      <c r="D162" t="s">
        <v>311</v>
      </c>
      <c r="E162" t="s">
        <v>23</v>
      </c>
      <c r="F162" t="s">
        <v>66</v>
      </c>
      <c r="G162" s="3">
        <v>41043</v>
      </c>
      <c r="H162">
        <v>554154527</v>
      </c>
      <c r="I162" s="3">
        <v>41044</v>
      </c>
      <c r="J162">
        <v>5494</v>
      </c>
      <c r="K162">
        <v>651.21</v>
      </c>
      <c r="L162">
        <v>524.96</v>
      </c>
      <c r="M162">
        <f t="shared" si="18"/>
        <v>3577747.74</v>
      </c>
      <c r="N162">
        <f t="shared" si="19"/>
        <v>2884130.24</v>
      </c>
      <c r="O162">
        <f t="shared" si="20"/>
        <v>693617.5</v>
      </c>
      <c r="P162" s="6">
        <f t="shared" si="21"/>
        <v>0.19386987300563566</v>
      </c>
      <c r="Q162">
        <f t="shared" si="22"/>
        <v>1</v>
      </c>
      <c r="R162">
        <f t="shared" si="23"/>
        <v>2012</v>
      </c>
      <c r="S162" t="str">
        <f t="shared" si="24"/>
        <v>May</v>
      </c>
      <c r="T162">
        <f t="shared" si="25"/>
        <v>5</v>
      </c>
      <c r="U162" t="str">
        <f t="shared" si="26"/>
        <v>High Profit</v>
      </c>
    </row>
    <row r="163" spans="1:21" x14ac:dyDescent="0.35">
      <c r="A163" s="5" t="s">
        <v>42</v>
      </c>
      <c r="B163" s="5" t="s">
        <v>312</v>
      </c>
      <c r="C163" t="s">
        <v>60</v>
      </c>
      <c r="D163" t="s">
        <v>313</v>
      </c>
      <c r="E163" t="s">
        <v>29</v>
      </c>
      <c r="F163" t="s">
        <v>66</v>
      </c>
      <c r="G163" s="3">
        <v>42934</v>
      </c>
      <c r="H163">
        <v>306859576</v>
      </c>
      <c r="I163" s="3">
        <v>42935</v>
      </c>
      <c r="J163">
        <v>5423</v>
      </c>
      <c r="K163">
        <v>668.27</v>
      </c>
      <c r="L163">
        <v>502.54</v>
      </c>
      <c r="M163">
        <f t="shared" si="18"/>
        <v>3624028.21</v>
      </c>
      <c r="N163">
        <f t="shared" si="19"/>
        <v>2725274.42</v>
      </c>
      <c r="O163">
        <f t="shared" si="20"/>
        <v>898753.79</v>
      </c>
      <c r="P163" s="6">
        <f t="shared" si="21"/>
        <v>0.24799856345489099</v>
      </c>
      <c r="Q163">
        <f t="shared" si="22"/>
        <v>1</v>
      </c>
      <c r="R163">
        <f t="shared" si="23"/>
        <v>2017</v>
      </c>
      <c r="S163" t="str">
        <f t="shared" si="24"/>
        <v>July</v>
      </c>
      <c r="T163">
        <f t="shared" si="25"/>
        <v>7</v>
      </c>
      <c r="U163" t="str">
        <f t="shared" si="26"/>
        <v>High Profit</v>
      </c>
    </row>
    <row r="164" spans="1:21" x14ac:dyDescent="0.35">
      <c r="A164" s="5" t="s">
        <v>53</v>
      </c>
      <c r="B164" s="5" t="s">
        <v>245</v>
      </c>
      <c r="C164" t="s">
        <v>83</v>
      </c>
      <c r="D164" t="s">
        <v>314</v>
      </c>
      <c r="E164" t="s">
        <v>23</v>
      </c>
      <c r="F164" t="s">
        <v>66</v>
      </c>
      <c r="G164" s="3">
        <v>42925</v>
      </c>
      <c r="H164">
        <v>803517568</v>
      </c>
      <c r="I164" s="3">
        <v>42937</v>
      </c>
      <c r="J164">
        <v>7559</v>
      </c>
      <c r="K164">
        <v>81.73</v>
      </c>
      <c r="L164">
        <v>56.67</v>
      </c>
      <c r="M164">
        <f t="shared" si="18"/>
        <v>617797.07000000007</v>
      </c>
      <c r="N164">
        <f t="shared" si="19"/>
        <v>428368.53</v>
      </c>
      <c r="O164">
        <f t="shared" si="20"/>
        <v>189428.54000000004</v>
      </c>
      <c r="P164" s="6">
        <f t="shared" si="21"/>
        <v>0.30661935641747218</v>
      </c>
      <c r="Q164">
        <f t="shared" si="22"/>
        <v>12</v>
      </c>
      <c r="R164">
        <f t="shared" si="23"/>
        <v>2017</v>
      </c>
      <c r="S164" t="str">
        <f t="shared" si="24"/>
        <v>July</v>
      </c>
      <c r="T164">
        <f t="shared" si="25"/>
        <v>7</v>
      </c>
      <c r="U164" t="str">
        <f t="shared" si="26"/>
        <v>Medium Profit</v>
      </c>
    </row>
    <row r="165" spans="1:21" x14ac:dyDescent="0.35">
      <c r="A165" s="5" t="s">
        <v>19</v>
      </c>
      <c r="B165" s="5" t="s">
        <v>315</v>
      </c>
      <c r="C165" t="s">
        <v>69</v>
      </c>
      <c r="D165" t="s">
        <v>316</v>
      </c>
      <c r="E165" t="s">
        <v>29</v>
      </c>
      <c r="F165" t="s">
        <v>32</v>
      </c>
      <c r="G165" s="3">
        <v>40816</v>
      </c>
      <c r="H165">
        <v>887927329</v>
      </c>
      <c r="I165" s="3">
        <v>40818</v>
      </c>
      <c r="J165">
        <v>6283</v>
      </c>
      <c r="K165">
        <v>651.21</v>
      </c>
      <c r="L165">
        <v>524.96</v>
      </c>
      <c r="M165">
        <f t="shared" si="18"/>
        <v>4091552.43</v>
      </c>
      <c r="N165">
        <f t="shared" si="19"/>
        <v>3298323.68</v>
      </c>
      <c r="O165">
        <f t="shared" si="20"/>
        <v>793228.75</v>
      </c>
      <c r="P165" s="6">
        <f t="shared" si="21"/>
        <v>0.19386987300563566</v>
      </c>
      <c r="Q165">
        <f t="shared" si="22"/>
        <v>2</v>
      </c>
      <c r="R165">
        <f t="shared" si="23"/>
        <v>2011</v>
      </c>
      <c r="S165" t="str">
        <f t="shared" si="24"/>
        <v>September</v>
      </c>
      <c r="T165">
        <f t="shared" si="25"/>
        <v>9</v>
      </c>
      <c r="U165" t="str">
        <f t="shared" si="26"/>
        <v>High Profit</v>
      </c>
    </row>
    <row r="166" spans="1:21" x14ac:dyDescent="0.35">
      <c r="A166" s="5" t="s">
        <v>42</v>
      </c>
      <c r="B166" s="5" t="s">
        <v>257</v>
      </c>
      <c r="C166" t="s">
        <v>27</v>
      </c>
      <c r="D166" t="s">
        <v>317</v>
      </c>
      <c r="E166" t="s">
        <v>29</v>
      </c>
      <c r="F166" t="s">
        <v>41</v>
      </c>
      <c r="G166" s="3">
        <v>42332</v>
      </c>
      <c r="H166">
        <v>824200189</v>
      </c>
      <c r="I166" s="3">
        <v>42334</v>
      </c>
      <c r="J166">
        <v>8006</v>
      </c>
      <c r="K166">
        <v>154.06</v>
      </c>
      <c r="L166">
        <v>90.93</v>
      </c>
      <c r="M166">
        <f t="shared" si="18"/>
        <v>1233404.3600000001</v>
      </c>
      <c r="N166">
        <f t="shared" si="19"/>
        <v>727985.58000000007</v>
      </c>
      <c r="O166">
        <f t="shared" si="20"/>
        <v>505418.78</v>
      </c>
      <c r="P166" s="6">
        <f t="shared" si="21"/>
        <v>0.40977541217707386</v>
      </c>
      <c r="Q166">
        <f t="shared" si="22"/>
        <v>2</v>
      </c>
      <c r="R166">
        <f t="shared" si="23"/>
        <v>2015</v>
      </c>
      <c r="S166" t="str">
        <f t="shared" si="24"/>
        <v>November</v>
      </c>
      <c r="T166">
        <f t="shared" si="25"/>
        <v>11</v>
      </c>
      <c r="U166" t="str">
        <f t="shared" si="26"/>
        <v>High Profit</v>
      </c>
    </row>
    <row r="167" spans="1:21" x14ac:dyDescent="0.35">
      <c r="A167" s="5" t="s">
        <v>37</v>
      </c>
      <c r="B167" s="5" t="s">
        <v>318</v>
      </c>
      <c r="C167" t="s">
        <v>69</v>
      </c>
      <c r="D167" t="s">
        <v>319</v>
      </c>
      <c r="E167" t="s">
        <v>29</v>
      </c>
      <c r="F167" t="s">
        <v>41</v>
      </c>
      <c r="G167" s="3">
        <v>41135</v>
      </c>
      <c r="H167">
        <v>946759974</v>
      </c>
      <c r="I167" s="3">
        <v>41166</v>
      </c>
      <c r="J167">
        <v>6170</v>
      </c>
      <c r="K167">
        <v>651.21</v>
      </c>
      <c r="L167">
        <v>524.96</v>
      </c>
      <c r="M167">
        <f t="shared" si="18"/>
        <v>4017965.7</v>
      </c>
      <c r="N167">
        <f t="shared" si="19"/>
        <v>3239003.2</v>
      </c>
      <c r="O167">
        <f t="shared" si="20"/>
        <v>778962.5</v>
      </c>
      <c r="P167" s="6">
        <f t="shared" si="21"/>
        <v>0.19386987300563566</v>
      </c>
      <c r="Q167">
        <f t="shared" si="22"/>
        <v>31</v>
      </c>
      <c r="R167">
        <f t="shared" si="23"/>
        <v>2012</v>
      </c>
      <c r="S167" t="str">
        <f t="shared" si="24"/>
        <v>August</v>
      </c>
      <c r="T167">
        <f t="shared" si="25"/>
        <v>8</v>
      </c>
      <c r="U167" t="str">
        <f t="shared" si="26"/>
        <v>High Profit</v>
      </c>
    </row>
    <row r="168" spans="1:21" x14ac:dyDescent="0.35">
      <c r="A168" s="5" t="s">
        <v>19</v>
      </c>
      <c r="B168" s="5" t="s">
        <v>320</v>
      </c>
      <c r="C168" t="s">
        <v>48</v>
      </c>
      <c r="D168" t="s">
        <v>321</v>
      </c>
      <c r="E168" t="s">
        <v>23</v>
      </c>
      <c r="F168" t="s">
        <v>41</v>
      </c>
      <c r="G168" s="3">
        <v>42344</v>
      </c>
      <c r="H168">
        <v>310343015</v>
      </c>
      <c r="I168" s="3">
        <v>42366</v>
      </c>
      <c r="J168">
        <v>6249</v>
      </c>
      <c r="K168">
        <v>109.28</v>
      </c>
      <c r="L168">
        <v>35.840000000000003</v>
      </c>
      <c r="M168">
        <f t="shared" si="18"/>
        <v>682890.72</v>
      </c>
      <c r="N168">
        <f t="shared" si="19"/>
        <v>223964.16000000003</v>
      </c>
      <c r="O168">
        <f t="shared" si="20"/>
        <v>458926.55999999994</v>
      </c>
      <c r="P168" s="6">
        <f t="shared" si="21"/>
        <v>0.67203513909224011</v>
      </c>
      <c r="Q168">
        <f t="shared" si="22"/>
        <v>22</v>
      </c>
      <c r="R168">
        <f t="shared" si="23"/>
        <v>2015</v>
      </c>
      <c r="S168" t="str">
        <f t="shared" si="24"/>
        <v>December</v>
      </c>
      <c r="T168">
        <f t="shared" si="25"/>
        <v>12</v>
      </c>
      <c r="U168" t="str">
        <f t="shared" si="26"/>
        <v>Medium Profit</v>
      </c>
    </row>
    <row r="169" spans="1:21" x14ac:dyDescent="0.35">
      <c r="A169" s="5" t="s">
        <v>42</v>
      </c>
      <c r="B169" s="5" t="s">
        <v>312</v>
      </c>
      <c r="C169" t="s">
        <v>27</v>
      </c>
      <c r="D169" t="s">
        <v>322</v>
      </c>
      <c r="E169" t="s">
        <v>29</v>
      </c>
      <c r="F169" t="s">
        <v>32</v>
      </c>
      <c r="G169" s="3">
        <v>41784</v>
      </c>
      <c r="H169">
        <v>739998137</v>
      </c>
      <c r="I169" s="3">
        <v>41829</v>
      </c>
      <c r="J169">
        <v>748</v>
      </c>
      <c r="K169">
        <v>154.06</v>
      </c>
      <c r="L169">
        <v>90.93</v>
      </c>
      <c r="M169">
        <f t="shared" si="18"/>
        <v>115236.88</v>
      </c>
      <c r="N169">
        <f t="shared" si="19"/>
        <v>68015.64</v>
      </c>
      <c r="O169">
        <f t="shared" si="20"/>
        <v>47221.240000000005</v>
      </c>
      <c r="P169" s="6">
        <f t="shared" si="21"/>
        <v>0.40977541217707392</v>
      </c>
      <c r="Q169">
        <f t="shared" si="22"/>
        <v>45</v>
      </c>
      <c r="R169">
        <f t="shared" si="23"/>
        <v>2014</v>
      </c>
      <c r="S169" t="str">
        <f t="shared" si="24"/>
        <v>May</v>
      </c>
      <c r="T169">
        <f t="shared" si="25"/>
        <v>5</v>
      </c>
      <c r="U169" t="str">
        <f t="shared" si="26"/>
        <v>Low Profit</v>
      </c>
    </row>
    <row r="170" spans="1:21" x14ac:dyDescent="0.35">
      <c r="A170" s="5" t="s">
        <v>33</v>
      </c>
      <c r="B170" s="5" t="s">
        <v>34</v>
      </c>
      <c r="C170" t="s">
        <v>72</v>
      </c>
      <c r="D170" t="s">
        <v>323</v>
      </c>
      <c r="E170" t="s">
        <v>29</v>
      </c>
      <c r="F170" t="s">
        <v>41</v>
      </c>
      <c r="G170" s="3">
        <v>41200</v>
      </c>
      <c r="H170">
        <v>981086671</v>
      </c>
      <c r="I170" s="3">
        <v>41234</v>
      </c>
      <c r="J170">
        <v>4203</v>
      </c>
      <c r="K170">
        <v>47.45</v>
      </c>
      <c r="L170">
        <v>31.79</v>
      </c>
      <c r="M170">
        <f t="shared" si="18"/>
        <v>199432.35</v>
      </c>
      <c r="N170">
        <f t="shared" si="19"/>
        <v>133613.37</v>
      </c>
      <c r="O170">
        <f t="shared" si="20"/>
        <v>65818.98000000001</v>
      </c>
      <c r="P170" s="6">
        <f t="shared" si="21"/>
        <v>0.33003161222339311</v>
      </c>
      <c r="Q170">
        <f t="shared" si="22"/>
        <v>34</v>
      </c>
      <c r="R170">
        <f t="shared" si="23"/>
        <v>2012</v>
      </c>
      <c r="S170" t="str">
        <f t="shared" si="24"/>
        <v>October</v>
      </c>
      <c r="T170">
        <f t="shared" si="25"/>
        <v>10</v>
      </c>
      <c r="U170" t="str">
        <f t="shared" si="26"/>
        <v>Low Profit</v>
      </c>
    </row>
    <row r="171" spans="1:21" x14ac:dyDescent="0.35">
      <c r="A171" s="5" t="s">
        <v>42</v>
      </c>
      <c r="B171" s="5" t="s">
        <v>324</v>
      </c>
      <c r="C171" t="s">
        <v>69</v>
      </c>
      <c r="D171" t="s">
        <v>325</v>
      </c>
      <c r="E171" t="s">
        <v>23</v>
      </c>
      <c r="F171" t="s">
        <v>66</v>
      </c>
      <c r="G171" s="3">
        <v>41346</v>
      </c>
      <c r="H171">
        <v>749282443</v>
      </c>
      <c r="I171" s="3">
        <v>41358</v>
      </c>
      <c r="J171">
        <v>8180</v>
      </c>
      <c r="K171">
        <v>651.21</v>
      </c>
      <c r="L171">
        <v>524.96</v>
      </c>
      <c r="M171">
        <f t="shared" si="18"/>
        <v>5326897.8000000007</v>
      </c>
      <c r="N171">
        <f t="shared" si="19"/>
        <v>4294172.8000000007</v>
      </c>
      <c r="O171">
        <f t="shared" si="20"/>
        <v>1032725</v>
      </c>
      <c r="P171" s="6">
        <f t="shared" si="21"/>
        <v>0.19386987300563563</v>
      </c>
      <c r="Q171">
        <f t="shared" si="22"/>
        <v>12</v>
      </c>
      <c r="R171">
        <f t="shared" si="23"/>
        <v>2013</v>
      </c>
      <c r="S171" t="str">
        <f t="shared" si="24"/>
        <v>March</v>
      </c>
      <c r="T171">
        <f t="shared" si="25"/>
        <v>3</v>
      </c>
      <c r="U171" t="str">
        <f t="shared" si="26"/>
        <v>High Profit</v>
      </c>
    </row>
    <row r="172" spans="1:21" x14ac:dyDescent="0.35">
      <c r="A172" s="5" t="s">
        <v>42</v>
      </c>
      <c r="B172" s="5" t="s">
        <v>68</v>
      </c>
      <c r="C172" t="s">
        <v>69</v>
      </c>
      <c r="D172" t="s">
        <v>326</v>
      </c>
      <c r="E172" t="s">
        <v>29</v>
      </c>
      <c r="F172" t="s">
        <v>32</v>
      </c>
      <c r="G172" s="3">
        <v>40597</v>
      </c>
      <c r="H172">
        <v>280571782</v>
      </c>
      <c r="I172" s="3">
        <v>40613</v>
      </c>
      <c r="J172">
        <v>6280</v>
      </c>
      <c r="K172">
        <v>651.21</v>
      </c>
      <c r="L172">
        <v>524.96</v>
      </c>
      <c r="M172">
        <f t="shared" si="18"/>
        <v>4089598.8000000003</v>
      </c>
      <c r="N172">
        <f t="shared" si="19"/>
        <v>3296748.8000000003</v>
      </c>
      <c r="O172">
        <f t="shared" si="20"/>
        <v>792850</v>
      </c>
      <c r="P172" s="6">
        <f t="shared" si="21"/>
        <v>0.19386987300563566</v>
      </c>
      <c r="Q172">
        <f t="shared" si="22"/>
        <v>16</v>
      </c>
      <c r="R172">
        <f t="shared" si="23"/>
        <v>2011</v>
      </c>
      <c r="S172" t="str">
        <f t="shared" si="24"/>
        <v>February</v>
      </c>
      <c r="T172">
        <f t="shared" si="25"/>
        <v>2</v>
      </c>
      <c r="U172" t="str">
        <f t="shared" si="26"/>
        <v>High Profit</v>
      </c>
    </row>
    <row r="173" spans="1:21" x14ac:dyDescent="0.35">
      <c r="A173" s="5" t="s">
        <v>42</v>
      </c>
      <c r="B173" s="5" t="s">
        <v>170</v>
      </c>
      <c r="C173" t="s">
        <v>60</v>
      </c>
      <c r="D173" t="s">
        <v>327</v>
      </c>
      <c r="E173" t="s">
        <v>29</v>
      </c>
      <c r="F173" t="s">
        <v>32</v>
      </c>
      <c r="G173" s="3">
        <v>41866</v>
      </c>
      <c r="H173">
        <v>781253516</v>
      </c>
      <c r="I173" s="3">
        <v>41883</v>
      </c>
      <c r="J173">
        <v>9131</v>
      </c>
      <c r="K173">
        <v>668.27</v>
      </c>
      <c r="L173">
        <v>502.54</v>
      </c>
      <c r="M173">
        <f t="shared" si="18"/>
        <v>6101973.3700000001</v>
      </c>
      <c r="N173">
        <f t="shared" si="19"/>
        <v>4588692.74</v>
      </c>
      <c r="O173">
        <f t="shared" si="20"/>
        <v>1513280.63</v>
      </c>
      <c r="P173" s="6">
        <f t="shared" si="21"/>
        <v>0.24799856345489096</v>
      </c>
      <c r="Q173">
        <f t="shared" si="22"/>
        <v>17</v>
      </c>
      <c r="R173">
        <f t="shared" si="23"/>
        <v>2014</v>
      </c>
      <c r="S173" t="str">
        <f t="shared" si="24"/>
        <v>August</v>
      </c>
      <c r="T173">
        <f t="shared" si="25"/>
        <v>8</v>
      </c>
      <c r="U173" t="str">
        <f t="shared" si="26"/>
        <v>High Profit</v>
      </c>
    </row>
    <row r="174" spans="1:21" x14ac:dyDescent="0.35">
      <c r="A174" s="5" t="s">
        <v>37</v>
      </c>
      <c r="B174" s="5" t="s">
        <v>107</v>
      </c>
      <c r="C174" t="s">
        <v>83</v>
      </c>
      <c r="D174" t="s">
        <v>328</v>
      </c>
      <c r="E174" t="s">
        <v>29</v>
      </c>
      <c r="F174" t="s">
        <v>41</v>
      </c>
      <c r="G174" s="3">
        <v>42922</v>
      </c>
      <c r="H174">
        <v>377938973</v>
      </c>
      <c r="I174" s="3">
        <v>42927</v>
      </c>
      <c r="J174">
        <v>9396</v>
      </c>
      <c r="K174">
        <v>81.73</v>
      </c>
      <c r="L174">
        <v>56.67</v>
      </c>
      <c r="M174">
        <f t="shared" si="18"/>
        <v>767935.08000000007</v>
      </c>
      <c r="N174">
        <f t="shared" si="19"/>
        <v>532471.32000000007</v>
      </c>
      <c r="O174">
        <f t="shared" si="20"/>
        <v>235463.76</v>
      </c>
      <c r="P174" s="6">
        <f t="shared" si="21"/>
        <v>0.30661935641747212</v>
      </c>
      <c r="Q174">
        <f t="shared" si="22"/>
        <v>5</v>
      </c>
      <c r="R174">
        <f t="shared" si="23"/>
        <v>2017</v>
      </c>
      <c r="S174" t="str">
        <f t="shared" si="24"/>
        <v>July</v>
      </c>
      <c r="T174">
        <f t="shared" si="25"/>
        <v>7</v>
      </c>
      <c r="U174" t="str">
        <f t="shared" si="26"/>
        <v>Medium Profit</v>
      </c>
    </row>
    <row r="175" spans="1:21" x14ac:dyDescent="0.35">
      <c r="A175" s="5" t="s">
        <v>42</v>
      </c>
      <c r="B175" s="5" t="s">
        <v>159</v>
      </c>
      <c r="C175" t="s">
        <v>48</v>
      </c>
      <c r="D175" t="s">
        <v>329</v>
      </c>
      <c r="E175" t="s">
        <v>23</v>
      </c>
      <c r="F175" t="s">
        <v>32</v>
      </c>
      <c r="G175" s="3">
        <v>40543</v>
      </c>
      <c r="H175">
        <v>867551982</v>
      </c>
      <c r="I175" s="3">
        <v>40546</v>
      </c>
      <c r="J175">
        <v>6765</v>
      </c>
      <c r="K175">
        <v>109.28</v>
      </c>
      <c r="L175">
        <v>35.840000000000003</v>
      </c>
      <c r="M175">
        <f t="shared" si="18"/>
        <v>739279.2</v>
      </c>
      <c r="N175">
        <f t="shared" si="19"/>
        <v>242457.60000000003</v>
      </c>
      <c r="O175">
        <f t="shared" si="20"/>
        <v>496821.59999999992</v>
      </c>
      <c r="P175" s="6">
        <f t="shared" si="21"/>
        <v>0.67203513909224</v>
      </c>
      <c r="Q175">
        <f t="shared" si="22"/>
        <v>3</v>
      </c>
      <c r="R175">
        <f t="shared" si="23"/>
        <v>2010</v>
      </c>
      <c r="S175" t="str">
        <f t="shared" si="24"/>
        <v>December</v>
      </c>
      <c r="T175">
        <f t="shared" si="25"/>
        <v>12</v>
      </c>
      <c r="U175" t="str">
        <f t="shared" si="26"/>
        <v>Medium Profit</v>
      </c>
    </row>
    <row r="176" spans="1:21" x14ac:dyDescent="0.35">
      <c r="A176" s="5" t="s">
        <v>37</v>
      </c>
      <c r="B176" s="5" t="s">
        <v>330</v>
      </c>
      <c r="C176" t="s">
        <v>83</v>
      </c>
      <c r="D176" t="s">
        <v>331</v>
      </c>
      <c r="E176" t="s">
        <v>23</v>
      </c>
      <c r="F176" t="s">
        <v>32</v>
      </c>
      <c r="G176" s="3">
        <v>40191</v>
      </c>
      <c r="H176">
        <v>967328870</v>
      </c>
      <c r="I176" s="3">
        <v>40193</v>
      </c>
      <c r="J176">
        <v>2964</v>
      </c>
      <c r="K176">
        <v>81.73</v>
      </c>
      <c r="L176">
        <v>56.67</v>
      </c>
      <c r="M176">
        <f t="shared" si="18"/>
        <v>242247.72</v>
      </c>
      <c r="N176">
        <f t="shared" si="19"/>
        <v>167969.88</v>
      </c>
      <c r="O176">
        <f t="shared" si="20"/>
        <v>74277.84</v>
      </c>
      <c r="P176" s="6">
        <f t="shared" si="21"/>
        <v>0.30661935641747212</v>
      </c>
      <c r="Q176">
        <f t="shared" si="22"/>
        <v>2</v>
      </c>
      <c r="R176">
        <f t="shared" si="23"/>
        <v>2010</v>
      </c>
      <c r="S176" t="str">
        <f t="shared" si="24"/>
        <v>January</v>
      </c>
      <c r="T176">
        <f t="shared" si="25"/>
        <v>1</v>
      </c>
      <c r="U176" t="str">
        <f t="shared" si="26"/>
        <v>Low Profit</v>
      </c>
    </row>
    <row r="177" spans="1:21" x14ac:dyDescent="0.35">
      <c r="A177" s="5" t="s">
        <v>37</v>
      </c>
      <c r="B177" s="5" t="s">
        <v>38</v>
      </c>
      <c r="C177" t="s">
        <v>69</v>
      </c>
      <c r="D177" t="s">
        <v>332</v>
      </c>
      <c r="E177" t="s">
        <v>23</v>
      </c>
      <c r="F177" t="s">
        <v>32</v>
      </c>
      <c r="G177" s="3">
        <v>40803</v>
      </c>
      <c r="H177">
        <v>364818465</v>
      </c>
      <c r="I177" s="3">
        <v>40832</v>
      </c>
      <c r="J177">
        <v>6746</v>
      </c>
      <c r="K177">
        <v>651.21</v>
      </c>
      <c r="L177">
        <v>524.96</v>
      </c>
      <c r="M177">
        <f t="shared" si="18"/>
        <v>4393062.66</v>
      </c>
      <c r="N177">
        <f t="shared" si="19"/>
        <v>3541380.16</v>
      </c>
      <c r="O177">
        <f t="shared" si="20"/>
        <v>851682.5</v>
      </c>
      <c r="P177" s="6">
        <f t="shared" si="21"/>
        <v>0.19386987300563566</v>
      </c>
      <c r="Q177">
        <f t="shared" si="22"/>
        <v>29</v>
      </c>
      <c r="R177">
        <f t="shared" si="23"/>
        <v>2011</v>
      </c>
      <c r="S177" t="str">
        <f t="shared" si="24"/>
        <v>September</v>
      </c>
      <c r="T177">
        <f t="shared" si="25"/>
        <v>9</v>
      </c>
      <c r="U177" t="str">
        <f t="shared" si="26"/>
        <v>High Profit</v>
      </c>
    </row>
    <row r="178" spans="1:21" x14ac:dyDescent="0.35">
      <c r="A178" s="5" t="s">
        <v>19</v>
      </c>
      <c r="B178" s="5" t="s">
        <v>96</v>
      </c>
      <c r="C178" t="s">
        <v>69</v>
      </c>
      <c r="D178" t="s">
        <v>333</v>
      </c>
      <c r="E178" t="s">
        <v>29</v>
      </c>
      <c r="F178" t="s">
        <v>32</v>
      </c>
      <c r="G178" s="3">
        <v>41706</v>
      </c>
      <c r="H178">
        <v>167882096</v>
      </c>
      <c r="I178" s="3">
        <v>41729</v>
      </c>
      <c r="J178">
        <v>8898</v>
      </c>
      <c r="K178">
        <v>651.21</v>
      </c>
      <c r="L178">
        <v>524.96</v>
      </c>
      <c r="M178">
        <f t="shared" si="18"/>
        <v>5794466.5800000001</v>
      </c>
      <c r="N178">
        <f t="shared" si="19"/>
        <v>4671094.08</v>
      </c>
      <c r="O178">
        <f t="shared" si="20"/>
        <v>1123372.5</v>
      </c>
      <c r="P178" s="6">
        <f t="shared" si="21"/>
        <v>0.19386987300563566</v>
      </c>
      <c r="Q178">
        <f t="shared" si="22"/>
        <v>23</v>
      </c>
      <c r="R178">
        <f t="shared" si="23"/>
        <v>2014</v>
      </c>
      <c r="S178" t="str">
        <f t="shared" si="24"/>
        <v>March</v>
      </c>
      <c r="T178">
        <f t="shared" si="25"/>
        <v>3</v>
      </c>
      <c r="U178" t="str">
        <f t="shared" si="26"/>
        <v>High Profit</v>
      </c>
    </row>
    <row r="179" spans="1:21" x14ac:dyDescent="0.35">
      <c r="A179" s="5" t="s">
        <v>25</v>
      </c>
      <c r="B179" s="5" t="s">
        <v>334</v>
      </c>
      <c r="C179" t="s">
        <v>48</v>
      </c>
      <c r="D179" t="s">
        <v>335</v>
      </c>
      <c r="E179" t="s">
        <v>29</v>
      </c>
      <c r="F179" t="s">
        <v>41</v>
      </c>
      <c r="G179" s="3">
        <v>41231</v>
      </c>
      <c r="H179">
        <v>654693591</v>
      </c>
      <c r="I179" s="3">
        <v>41244</v>
      </c>
      <c r="J179">
        <v>7237</v>
      </c>
      <c r="K179">
        <v>109.28</v>
      </c>
      <c r="L179">
        <v>35.840000000000003</v>
      </c>
      <c r="M179">
        <f t="shared" si="18"/>
        <v>790859.36</v>
      </c>
      <c r="N179">
        <f t="shared" si="19"/>
        <v>259374.08000000002</v>
      </c>
      <c r="O179">
        <f t="shared" si="20"/>
        <v>531485.28</v>
      </c>
      <c r="P179" s="6">
        <f t="shared" si="21"/>
        <v>0.67203513909224022</v>
      </c>
      <c r="Q179">
        <f t="shared" si="22"/>
        <v>13</v>
      </c>
      <c r="R179">
        <f t="shared" si="23"/>
        <v>2012</v>
      </c>
      <c r="S179" t="str">
        <f t="shared" si="24"/>
        <v>November</v>
      </c>
      <c r="T179">
        <f t="shared" si="25"/>
        <v>11</v>
      </c>
      <c r="U179" t="str">
        <f t="shared" si="26"/>
        <v>High Profit</v>
      </c>
    </row>
    <row r="180" spans="1:21" x14ac:dyDescent="0.35">
      <c r="A180" s="5" t="s">
        <v>37</v>
      </c>
      <c r="B180" s="5" t="s">
        <v>336</v>
      </c>
      <c r="C180" t="s">
        <v>83</v>
      </c>
      <c r="D180" t="s">
        <v>337</v>
      </c>
      <c r="E180" t="s">
        <v>23</v>
      </c>
      <c r="F180" t="s">
        <v>41</v>
      </c>
      <c r="G180" s="3">
        <v>40865</v>
      </c>
      <c r="H180">
        <v>823739278</v>
      </c>
      <c r="I180" s="3">
        <v>40906</v>
      </c>
      <c r="J180">
        <v>1612</v>
      </c>
      <c r="K180">
        <v>81.73</v>
      </c>
      <c r="L180">
        <v>56.67</v>
      </c>
      <c r="M180">
        <f t="shared" si="18"/>
        <v>131748.76</v>
      </c>
      <c r="N180">
        <f t="shared" si="19"/>
        <v>91352.040000000008</v>
      </c>
      <c r="O180">
        <f t="shared" si="20"/>
        <v>40396.720000000001</v>
      </c>
      <c r="P180" s="6">
        <f t="shared" si="21"/>
        <v>0.30661935641747218</v>
      </c>
      <c r="Q180">
        <f t="shared" si="22"/>
        <v>41</v>
      </c>
      <c r="R180">
        <f t="shared" si="23"/>
        <v>2011</v>
      </c>
      <c r="S180" t="str">
        <f t="shared" si="24"/>
        <v>November</v>
      </c>
      <c r="T180">
        <f t="shared" si="25"/>
        <v>11</v>
      </c>
      <c r="U180" t="str">
        <f t="shared" si="26"/>
        <v>Low Profit</v>
      </c>
    </row>
    <row r="181" spans="1:21" x14ac:dyDescent="0.35">
      <c r="A181" s="5" t="s">
        <v>50</v>
      </c>
      <c r="B181" s="5" t="s">
        <v>109</v>
      </c>
      <c r="C181" t="s">
        <v>72</v>
      </c>
      <c r="D181" t="s">
        <v>338</v>
      </c>
      <c r="E181" t="s">
        <v>23</v>
      </c>
      <c r="F181" t="s">
        <v>66</v>
      </c>
      <c r="G181" s="3">
        <v>41102</v>
      </c>
      <c r="H181">
        <v>643817985</v>
      </c>
      <c r="I181" s="3">
        <v>41140</v>
      </c>
      <c r="J181">
        <v>8904</v>
      </c>
      <c r="K181">
        <v>47.45</v>
      </c>
      <c r="L181">
        <v>31.79</v>
      </c>
      <c r="M181">
        <f t="shared" si="18"/>
        <v>422494.80000000005</v>
      </c>
      <c r="N181">
        <f t="shared" si="19"/>
        <v>283058.15999999997</v>
      </c>
      <c r="O181">
        <f t="shared" si="20"/>
        <v>139436.64000000007</v>
      </c>
      <c r="P181" s="6">
        <f t="shared" si="21"/>
        <v>0.33003161222339317</v>
      </c>
      <c r="Q181">
        <f t="shared" si="22"/>
        <v>38</v>
      </c>
      <c r="R181">
        <f t="shared" si="23"/>
        <v>2012</v>
      </c>
      <c r="S181" t="str">
        <f t="shared" si="24"/>
        <v>July</v>
      </c>
      <c r="T181">
        <f t="shared" si="25"/>
        <v>7</v>
      </c>
      <c r="U181" t="str">
        <f t="shared" si="26"/>
        <v>Medium Profit</v>
      </c>
    </row>
    <row r="182" spans="1:21" x14ac:dyDescent="0.35">
      <c r="A182" s="5" t="s">
        <v>42</v>
      </c>
      <c r="B182" s="5" t="s">
        <v>308</v>
      </c>
      <c r="C182" t="s">
        <v>83</v>
      </c>
      <c r="D182" t="s">
        <v>339</v>
      </c>
      <c r="E182" t="s">
        <v>23</v>
      </c>
      <c r="F182" t="s">
        <v>41</v>
      </c>
      <c r="G182" s="3">
        <v>42824</v>
      </c>
      <c r="H182">
        <v>604041039</v>
      </c>
      <c r="I182" s="3">
        <v>42870</v>
      </c>
      <c r="J182">
        <v>8022</v>
      </c>
      <c r="K182">
        <v>81.73</v>
      </c>
      <c r="L182">
        <v>56.67</v>
      </c>
      <c r="M182">
        <f t="shared" si="18"/>
        <v>655638.06000000006</v>
      </c>
      <c r="N182">
        <f t="shared" si="19"/>
        <v>454606.74</v>
      </c>
      <c r="O182">
        <f t="shared" si="20"/>
        <v>201031.32000000007</v>
      </c>
      <c r="P182" s="6">
        <f t="shared" si="21"/>
        <v>0.30661935641747223</v>
      </c>
      <c r="Q182">
        <f t="shared" si="22"/>
        <v>46</v>
      </c>
      <c r="R182">
        <f t="shared" si="23"/>
        <v>2017</v>
      </c>
      <c r="S182" t="str">
        <f t="shared" si="24"/>
        <v>March</v>
      </c>
      <c r="T182">
        <f t="shared" si="25"/>
        <v>3</v>
      </c>
      <c r="U182" t="str">
        <f t="shared" si="26"/>
        <v>Medium Profit</v>
      </c>
    </row>
    <row r="183" spans="1:21" x14ac:dyDescent="0.35">
      <c r="A183" s="5" t="s">
        <v>53</v>
      </c>
      <c r="B183" s="5" t="s">
        <v>340</v>
      </c>
      <c r="C183" t="s">
        <v>83</v>
      </c>
      <c r="D183" t="s">
        <v>341</v>
      </c>
      <c r="E183" t="s">
        <v>29</v>
      </c>
      <c r="F183" t="s">
        <v>41</v>
      </c>
      <c r="G183" s="3">
        <v>40385</v>
      </c>
      <c r="H183">
        <v>363832271</v>
      </c>
      <c r="I183" s="3">
        <v>40433</v>
      </c>
      <c r="J183">
        <v>4909</v>
      </c>
      <c r="K183">
        <v>81.73</v>
      </c>
      <c r="L183">
        <v>56.67</v>
      </c>
      <c r="M183">
        <f t="shared" si="18"/>
        <v>401212.57</v>
      </c>
      <c r="N183">
        <f t="shared" si="19"/>
        <v>278193.03000000003</v>
      </c>
      <c r="O183">
        <f t="shared" si="20"/>
        <v>123019.53999999998</v>
      </c>
      <c r="P183" s="6">
        <f t="shared" si="21"/>
        <v>0.30661935641747212</v>
      </c>
      <c r="Q183">
        <f t="shared" si="22"/>
        <v>48</v>
      </c>
      <c r="R183">
        <f t="shared" si="23"/>
        <v>2010</v>
      </c>
      <c r="S183" t="str">
        <f t="shared" si="24"/>
        <v>July</v>
      </c>
      <c r="T183">
        <f t="shared" si="25"/>
        <v>7</v>
      </c>
      <c r="U183" t="str">
        <f t="shared" si="26"/>
        <v>Medium Profit</v>
      </c>
    </row>
    <row r="184" spans="1:21" x14ac:dyDescent="0.35">
      <c r="A184" s="5" t="s">
        <v>33</v>
      </c>
      <c r="B184" s="5" t="s">
        <v>168</v>
      </c>
      <c r="C184" t="s">
        <v>83</v>
      </c>
      <c r="D184" t="s">
        <v>342</v>
      </c>
      <c r="E184" t="s">
        <v>29</v>
      </c>
      <c r="F184" t="s">
        <v>66</v>
      </c>
      <c r="G184" s="3">
        <v>42362</v>
      </c>
      <c r="H184">
        <v>102928006</v>
      </c>
      <c r="I184" s="3">
        <v>42400</v>
      </c>
      <c r="J184">
        <v>7539</v>
      </c>
      <c r="K184">
        <v>81.73</v>
      </c>
      <c r="L184">
        <v>56.67</v>
      </c>
      <c r="M184">
        <f t="shared" si="18"/>
        <v>616162.47</v>
      </c>
      <c r="N184">
        <f t="shared" si="19"/>
        <v>427235.13</v>
      </c>
      <c r="O184">
        <f t="shared" si="20"/>
        <v>188927.33999999997</v>
      </c>
      <c r="P184" s="6">
        <f t="shared" si="21"/>
        <v>0.30661935641747212</v>
      </c>
      <c r="Q184">
        <f t="shared" si="22"/>
        <v>38</v>
      </c>
      <c r="R184">
        <f t="shared" si="23"/>
        <v>2015</v>
      </c>
      <c r="S184" t="str">
        <f t="shared" si="24"/>
        <v>December</v>
      </c>
      <c r="T184">
        <f t="shared" si="25"/>
        <v>12</v>
      </c>
      <c r="U184" t="str">
        <f t="shared" si="26"/>
        <v>Medium Profit</v>
      </c>
    </row>
    <row r="185" spans="1:21" x14ac:dyDescent="0.35">
      <c r="A185" s="5" t="s">
        <v>37</v>
      </c>
      <c r="B185" s="5" t="s">
        <v>343</v>
      </c>
      <c r="C185" t="s">
        <v>69</v>
      </c>
      <c r="D185" t="s">
        <v>344</v>
      </c>
      <c r="E185" t="s">
        <v>23</v>
      </c>
      <c r="F185" t="s">
        <v>24</v>
      </c>
      <c r="G185" s="3">
        <v>42505</v>
      </c>
      <c r="H185">
        <v>971377074</v>
      </c>
      <c r="I185" s="3">
        <v>42505</v>
      </c>
      <c r="J185">
        <v>917</v>
      </c>
      <c r="K185">
        <v>651.21</v>
      </c>
      <c r="L185">
        <v>524.96</v>
      </c>
      <c r="M185">
        <f t="shared" si="18"/>
        <v>597159.57000000007</v>
      </c>
      <c r="N185">
        <f t="shared" si="19"/>
        <v>481388.32</v>
      </c>
      <c r="O185">
        <f t="shared" si="20"/>
        <v>115771.25000000006</v>
      </c>
      <c r="P185" s="6">
        <f t="shared" si="21"/>
        <v>0.19386987300563574</v>
      </c>
      <c r="Q185">
        <f t="shared" si="22"/>
        <v>0</v>
      </c>
      <c r="R185">
        <f t="shared" si="23"/>
        <v>2016</v>
      </c>
      <c r="S185" t="str">
        <f t="shared" si="24"/>
        <v>May</v>
      </c>
      <c r="T185">
        <f t="shared" si="25"/>
        <v>5</v>
      </c>
      <c r="U185" t="str">
        <f t="shared" si="26"/>
        <v>Medium Profit</v>
      </c>
    </row>
    <row r="186" spans="1:21" x14ac:dyDescent="0.35">
      <c r="A186" s="5" t="s">
        <v>53</v>
      </c>
      <c r="B186" s="5" t="s">
        <v>345</v>
      </c>
      <c r="C186" t="s">
        <v>92</v>
      </c>
      <c r="D186" t="s">
        <v>346</v>
      </c>
      <c r="E186" t="s">
        <v>29</v>
      </c>
      <c r="F186" t="s">
        <v>66</v>
      </c>
      <c r="G186" s="3">
        <v>40485</v>
      </c>
      <c r="H186">
        <v>139540803</v>
      </c>
      <c r="I186" s="3">
        <v>40516</v>
      </c>
      <c r="J186">
        <v>2079</v>
      </c>
      <c r="K186">
        <v>421.89</v>
      </c>
      <c r="L186">
        <v>364.69</v>
      </c>
      <c r="M186">
        <f t="shared" si="18"/>
        <v>877109.30999999994</v>
      </c>
      <c r="N186">
        <f t="shared" si="19"/>
        <v>758190.51</v>
      </c>
      <c r="O186">
        <f t="shared" si="20"/>
        <v>118918.79999999993</v>
      </c>
      <c r="P186" s="6">
        <f t="shared" si="21"/>
        <v>0.13558036455000111</v>
      </c>
      <c r="Q186">
        <f t="shared" si="22"/>
        <v>31</v>
      </c>
      <c r="R186">
        <f t="shared" si="23"/>
        <v>2010</v>
      </c>
      <c r="S186" t="str">
        <f t="shared" si="24"/>
        <v>November</v>
      </c>
      <c r="T186">
        <f t="shared" si="25"/>
        <v>11</v>
      </c>
      <c r="U186" t="str">
        <f t="shared" si="26"/>
        <v>Medium Profit</v>
      </c>
    </row>
    <row r="187" spans="1:21" x14ac:dyDescent="0.35">
      <c r="A187" s="5" t="s">
        <v>19</v>
      </c>
      <c r="B187" s="5" t="s">
        <v>127</v>
      </c>
      <c r="C187" t="s">
        <v>92</v>
      </c>
      <c r="D187" t="s">
        <v>347</v>
      </c>
      <c r="E187" t="s">
        <v>23</v>
      </c>
      <c r="F187" t="s">
        <v>24</v>
      </c>
      <c r="G187" s="3">
        <v>40513</v>
      </c>
      <c r="H187">
        <v>248093020</v>
      </c>
      <c r="I187" s="3">
        <v>40528</v>
      </c>
      <c r="J187">
        <v>5093</v>
      </c>
      <c r="K187">
        <v>421.89</v>
      </c>
      <c r="L187">
        <v>364.69</v>
      </c>
      <c r="M187">
        <f t="shared" si="18"/>
        <v>2148685.77</v>
      </c>
      <c r="N187">
        <f t="shared" si="19"/>
        <v>1857366.17</v>
      </c>
      <c r="O187">
        <f t="shared" si="20"/>
        <v>291319.60000000009</v>
      </c>
      <c r="P187" s="6">
        <f t="shared" si="21"/>
        <v>0.13558036455000122</v>
      </c>
      <c r="Q187">
        <f t="shared" si="22"/>
        <v>15</v>
      </c>
      <c r="R187">
        <f t="shared" si="23"/>
        <v>2010</v>
      </c>
      <c r="S187" t="str">
        <f t="shared" si="24"/>
        <v>December</v>
      </c>
      <c r="T187">
        <f t="shared" si="25"/>
        <v>12</v>
      </c>
      <c r="U187" t="str">
        <f t="shared" si="26"/>
        <v>Medium Profit</v>
      </c>
    </row>
    <row r="188" spans="1:21" x14ac:dyDescent="0.35">
      <c r="A188" s="5" t="s">
        <v>37</v>
      </c>
      <c r="B188" s="5" t="s">
        <v>348</v>
      </c>
      <c r="C188" t="s">
        <v>58</v>
      </c>
      <c r="D188" t="s">
        <v>349</v>
      </c>
      <c r="E188" t="s">
        <v>23</v>
      </c>
      <c r="F188" t="s">
        <v>66</v>
      </c>
      <c r="G188" s="3">
        <v>41655</v>
      </c>
      <c r="H188">
        <v>858020055</v>
      </c>
      <c r="I188" s="3">
        <v>41656</v>
      </c>
      <c r="J188">
        <v>6056</v>
      </c>
      <c r="K188">
        <v>152.58000000000001</v>
      </c>
      <c r="L188">
        <v>97.44</v>
      </c>
      <c r="M188">
        <f t="shared" si="18"/>
        <v>924024.4800000001</v>
      </c>
      <c r="N188">
        <f t="shared" si="19"/>
        <v>590096.64000000001</v>
      </c>
      <c r="O188">
        <f t="shared" si="20"/>
        <v>333927.84000000008</v>
      </c>
      <c r="P188" s="6">
        <f t="shared" si="21"/>
        <v>0.36138419189933157</v>
      </c>
      <c r="Q188">
        <f t="shared" si="22"/>
        <v>1</v>
      </c>
      <c r="R188">
        <f t="shared" si="23"/>
        <v>2014</v>
      </c>
      <c r="S188" t="str">
        <f t="shared" si="24"/>
        <v>January</v>
      </c>
      <c r="T188">
        <f t="shared" si="25"/>
        <v>1</v>
      </c>
      <c r="U188" t="str">
        <f t="shared" si="26"/>
        <v>Medium Profit</v>
      </c>
    </row>
    <row r="189" spans="1:21" x14ac:dyDescent="0.35">
      <c r="A189" s="5" t="s">
        <v>19</v>
      </c>
      <c r="B189" s="5" t="s">
        <v>350</v>
      </c>
      <c r="C189" t="s">
        <v>30</v>
      </c>
      <c r="D189" t="s">
        <v>351</v>
      </c>
      <c r="E189" t="s">
        <v>23</v>
      </c>
      <c r="F189" t="s">
        <v>41</v>
      </c>
      <c r="G189" s="3">
        <v>41984</v>
      </c>
      <c r="H189">
        <v>700620734</v>
      </c>
      <c r="I189" s="3">
        <v>42009</v>
      </c>
      <c r="J189">
        <v>8099</v>
      </c>
      <c r="K189">
        <v>255.28</v>
      </c>
      <c r="L189">
        <v>159.41999999999999</v>
      </c>
      <c r="M189">
        <f t="shared" si="18"/>
        <v>2067512.72</v>
      </c>
      <c r="N189">
        <f t="shared" si="19"/>
        <v>1291142.5799999998</v>
      </c>
      <c r="O189">
        <f t="shared" si="20"/>
        <v>776370.14000000013</v>
      </c>
      <c r="P189" s="6">
        <f t="shared" si="21"/>
        <v>0.37550924475086189</v>
      </c>
      <c r="Q189">
        <f t="shared" si="22"/>
        <v>25</v>
      </c>
      <c r="R189">
        <f t="shared" si="23"/>
        <v>2014</v>
      </c>
      <c r="S189" t="str">
        <f t="shared" si="24"/>
        <v>December</v>
      </c>
      <c r="T189">
        <f t="shared" si="25"/>
        <v>12</v>
      </c>
      <c r="U189" t="str">
        <f t="shared" si="26"/>
        <v>High Profit</v>
      </c>
    </row>
    <row r="190" spans="1:21" x14ac:dyDescent="0.35">
      <c r="A190" s="5" t="s">
        <v>33</v>
      </c>
      <c r="B190" s="5" t="s">
        <v>243</v>
      </c>
      <c r="C190" t="s">
        <v>21</v>
      </c>
      <c r="D190" t="s">
        <v>352</v>
      </c>
      <c r="E190" t="s">
        <v>23</v>
      </c>
      <c r="F190" t="s">
        <v>66</v>
      </c>
      <c r="G190" s="3">
        <v>42728</v>
      </c>
      <c r="H190">
        <v>827506387</v>
      </c>
      <c r="I190" s="3">
        <v>42765</v>
      </c>
      <c r="J190">
        <v>6384</v>
      </c>
      <c r="K190">
        <v>437.2</v>
      </c>
      <c r="L190">
        <v>263.33</v>
      </c>
      <c r="M190">
        <f t="shared" si="18"/>
        <v>2791084.8</v>
      </c>
      <c r="N190">
        <f t="shared" si="19"/>
        <v>1681098.72</v>
      </c>
      <c r="O190">
        <f t="shared" si="20"/>
        <v>1109986.0799999998</v>
      </c>
      <c r="P190" s="6">
        <f t="shared" si="21"/>
        <v>0.39768984446477584</v>
      </c>
      <c r="Q190">
        <f t="shared" si="22"/>
        <v>37</v>
      </c>
      <c r="R190">
        <f t="shared" si="23"/>
        <v>2016</v>
      </c>
      <c r="S190" t="str">
        <f t="shared" si="24"/>
        <v>December</v>
      </c>
      <c r="T190">
        <f t="shared" si="25"/>
        <v>12</v>
      </c>
      <c r="U190" t="str">
        <f t="shared" si="26"/>
        <v>High Profit</v>
      </c>
    </row>
    <row r="191" spans="1:21" x14ac:dyDescent="0.35">
      <c r="A191" s="5" t="s">
        <v>50</v>
      </c>
      <c r="B191" s="5" t="s">
        <v>353</v>
      </c>
      <c r="C191" t="s">
        <v>60</v>
      </c>
      <c r="D191" t="s">
        <v>354</v>
      </c>
      <c r="E191" t="s">
        <v>29</v>
      </c>
      <c r="F191" t="s">
        <v>24</v>
      </c>
      <c r="G191" s="3">
        <v>41354</v>
      </c>
      <c r="H191">
        <v>560600841</v>
      </c>
      <c r="I191" s="3">
        <v>41378</v>
      </c>
      <c r="J191">
        <v>3101</v>
      </c>
      <c r="K191">
        <v>668.27</v>
      </c>
      <c r="L191">
        <v>502.54</v>
      </c>
      <c r="M191">
        <f t="shared" si="18"/>
        <v>2072305.27</v>
      </c>
      <c r="N191">
        <f t="shared" si="19"/>
        <v>1558376.54</v>
      </c>
      <c r="O191">
        <f t="shared" si="20"/>
        <v>513928.73</v>
      </c>
      <c r="P191" s="6">
        <f t="shared" si="21"/>
        <v>0.24799856345489096</v>
      </c>
      <c r="Q191">
        <f t="shared" si="22"/>
        <v>24</v>
      </c>
      <c r="R191">
        <f t="shared" si="23"/>
        <v>2013</v>
      </c>
      <c r="S191" t="str">
        <f t="shared" si="24"/>
        <v>March</v>
      </c>
      <c r="T191">
        <f t="shared" si="25"/>
        <v>3</v>
      </c>
      <c r="U191" t="str">
        <f t="shared" si="26"/>
        <v>High Profit</v>
      </c>
    </row>
    <row r="192" spans="1:21" x14ac:dyDescent="0.35">
      <c r="A192" s="5" t="s">
        <v>42</v>
      </c>
      <c r="B192" s="5" t="s">
        <v>113</v>
      </c>
      <c r="C192" t="s">
        <v>83</v>
      </c>
      <c r="D192" t="s">
        <v>355</v>
      </c>
      <c r="E192" t="s">
        <v>23</v>
      </c>
      <c r="F192" t="s">
        <v>41</v>
      </c>
      <c r="G192" s="3">
        <v>41251</v>
      </c>
      <c r="H192">
        <v>642140424</v>
      </c>
      <c r="I192" s="3">
        <v>41290</v>
      </c>
      <c r="J192">
        <v>2476</v>
      </c>
      <c r="K192">
        <v>81.73</v>
      </c>
      <c r="L192">
        <v>56.67</v>
      </c>
      <c r="M192">
        <f t="shared" si="18"/>
        <v>202363.48</v>
      </c>
      <c r="N192">
        <f t="shared" si="19"/>
        <v>140314.92000000001</v>
      </c>
      <c r="O192">
        <f t="shared" si="20"/>
        <v>62048.56</v>
      </c>
      <c r="P192" s="6">
        <f t="shared" si="21"/>
        <v>0.30661935641747212</v>
      </c>
      <c r="Q192">
        <f t="shared" si="22"/>
        <v>39</v>
      </c>
      <c r="R192">
        <f t="shared" si="23"/>
        <v>2012</v>
      </c>
      <c r="S192" t="str">
        <f t="shared" si="24"/>
        <v>December</v>
      </c>
      <c r="T192">
        <f t="shared" si="25"/>
        <v>12</v>
      </c>
      <c r="U192" t="str">
        <f t="shared" si="26"/>
        <v>Low Profit</v>
      </c>
    </row>
    <row r="193" spans="1:21" x14ac:dyDescent="0.35">
      <c r="A193" s="5" t="s">
        <v>25</v>
      </c>
      <c r="B193" s="5" t="s">
        <v>184</v>
      </c>
      <c r="C193" t="s">
        <v>30</v>
      </c>
      <c r="D193" t="s">
        <v>356</v>
      </c>
      <c r="E193" t="s">
        <v>23</v>
      </c>
      <c r="F193" t="s">
        <v>32</v>
      </c>
      <c r="G193" s="3">
        <v>42048</v>
      </c>
      <c r="H193">
        <v>984673964</v>
      </c>
      <c r="I193" s="3">
        <v>42068</v>
      </c>
      <c r="J193">
        <v>5763</v>
      </c>
      <c r="K193">
        <v>255.28</v>
      </c>
      <c r="L193">
        <v>159.41999999999999</v>
      </c>
      <c r="M193">
        <f t="shared" si="18"/>
        <v>1471178.64</v>
      </c>
      <c r="N193">
        <f t="shared" si="19"/>
        <v>918737.46</v>
      </c>
      <c r="O193">
        <f t="shared" si="20"/>
        <v>552441.17999999993</v>
      </c>
      <c r="P193" s="6">
        <f t="shared" si="21"/>
        <v>0.37550924475086178</v>
      </c>
      <c r="Q193">
        <f t="shared" si="22"/>
        <v>20</v>
      </c>
      <c r="R193">
        <f t="shared" si="23"/>
        <v>2015</v>
      </c>
      <c r="S193" t="str">
        <f t="shared" si="24"/>
        <v>February</v>
      </c>
      <c r="T193">
        <f t="shared" si="25"/>
        <v>2</v>
      </c>
      <c r="U193" t="str">
        <f t="shared" si="26"/>
        <v>High Profit</v>
      </c>
    </row>
    <row r="194" spans="1:21" x14ac:dyDescent="0.35">
      <c r="A194" s="5" t="s">
        <v>42</v>
      </c>
      <c r="B194" s="5" t="s">
        <v>273</v>
      </c>
      <c r="C194" t="s">
        <v>72</v>
      </c>
      <c r="D194" t="s">
        <v>357</v>
      </c>
      <c r="E194" t="s">
        <v>29</v>
      </c>
      <c r="F194" t="s">
        <v>66</v>
      </c>
      <c r="G194" s="3">
        <v>40996</v>
      </c>
      <c r="H194">
        <v>221062791</v>
      </c>
      <c r="I194" s="3">
        <v>41017</v>
      </c>
      <c r="J194">
        <v>6247</v>
      </c>
      <c r="K194">
        <v>47.45</v>
      </c>
      <c r="L194">
        <v>31.79</v>
      </c>
      <c r="M194">
        <f t="shared" si="18"/>
        <v>296420.15000000002</v>
      </c>
      <c r="N194">
        <f t="shared" si="19"/>
        <v>198592.13</v>
      </c>
      <c r="O194">
        <f t="shared" si="20"/>
        <v>97828.020000000019</v>
      </c>
      <c r="P194" s="6">
        <f t="shared" si="21"/>
        <v>0.33003161222339306</v>
      </c>
      <c r="Q194">
        <f t="shared" si="22"/>
        <v>21</v>
      </c>
      <c r="R194">
        <f t="shared" si="23"/>
        <v>2012</v>
      </c>
      <c r="S194" t="str">
        <f t="shared" si="24"/>
        <v>March</v>
      </c>
      <c r="T194">
        <f t="shared" si="25"/>
        <v>3</v>
      </c>
      <c r="U194" t="str">
        <f t="shared" si="26"/>
        <v>Low Profit</v>
      </c>
    </row>
    <row r="195" spans="1:21" x14ac:dyDescent="0.35">
      <c r="A195" s="5" t="s">
        <v>25</v>
      </c>
      <c r="B195" s="5" t="s">
        <v>26</v>
      </c>
      <c r="C195" t="s">
        <v>27</v>
      </c>
      <c r="D195" t="s">
        <v>358</v>
      </c>
      <c r="E195" t="s">
        <v>23</v>
      </c>
      <c r="F195" t="s">
        <v>66</v>
      </c>
      <c r="G195" s="3">
        <v>42650</v>
      </c>
      <c r="H195">
        <v>654480731</v>
      </c>
      <c r="I195" s="3">
        <v>42682</v>
      </c>
      <c r="J195">
        <v>4247</v>
      </c>
      <c r="K195">
        <v>154.06</v>
      </c>
      <c r="L195">
        <v>90.93</v>
      </c>
      <c r="M195">
        <f t="shared" ref="M195:M258" si="27">J195*K195</f>
        <v>654292.82000000007</v>
      </c>
      <c r="N195">
        <f t="shared" ref="N195:N258" si="28">J195*L195</f>
        <v>386179.71</v>
      </c>
      <c r="O195">
        <f t="shared" ref="O195:O258" si="29">M195-N195</f>
        <v>268113.11000000004</v>
      </c>
      <c r="P195" s="6">
        <f t="shared" ref="P195:P258" si="30">O195/M195</f>
        <v>0.40977541217707392</v>
      </c>
      <c r="Q195">
        <f t="shared" ref="Q195:Q258" si="31">I195-G195</f>
        <v>32</v>
      </c>
      <c r="R195">
        <f t="shared" ref="R195:R258" si="32">YEAR(G195)</f>
        <v>2016</v>
      </c>
      <c r="S195" t="str">
        <f t="shared" ref="S195:S258" si="33">TEXT(G195,"mmmm")</f>
        <v>October</v>
      </c>
      <c r="T195">
        <f t="shared" ref="T195:T258" si="34">MONTH(G195)</f>
        <v>10</v>
      </c>
      <c r="U195" t="str">
        <f t="shared" ref="U195:U258" si="35">IF(O195&gt;=500000,"High Profit",
IF(O195&gt;=100000,"Medium Profit","Low Profit"))</f>
        <v>Medium Profit</v>
      </c>
    </row>
    <row r="196" spans="1:21" x14ac:dyDescent="0.35">
      <c r="A196" s="5" t="s">
        <v>19</v>
      </c>
      <c r="B196" s="5" t="s">
        <v>127</v>
      </c>
      <c r="C196" t="s">
        <v>72</v>
      </c>
      <c r="D196" t="s">
        <v>359</v>
      </c>
      <c r="E196" t="s">
        <v>23</v>
      </c>
      <c r="F196" t="s">
        <v>32</v>
      </c>
      <c r="G196" s="3">
        <v>40892</v>
      </c>
      <c r="H196">
        <v>608414113</v>
      </c>
      <c r="I196" s="3">
        <v>40900</v>
      </c>
      <c r="J196">
        <v>2111</v>
      </c>
      <c r="K196">
        <v>47.45</v>
      </c>
      <c r="L196">
        <v>31.79</v>
      </c>
      <c r="M196">
        <f t="shared" si="27"/>
        <v>100166.95000000001</v>
      </c>
      <c r="N196">
        <f t="shared" si="28"/>
        <v>67108.69</v>
      </c>
      <c r="O196">
        <f t="shared" si="29"/>
        <v>33058.260000000009</v>
      </c>
      <c r="P196" s="6">
        <f t="shared" si="30"/>
        <v>0.33003161222339311</v>
      </c>
      <c r="Q196">
        <f t="shared" si="31"/>
        <v>8</v>
      </c>
      <c r="R196">
        <f t="shared" si="32"/>
        <v>2011</v>
      </c>
      <c r="S196" t="str">
        <f t="shared" si="33"/>
        <v>December</v>
      </c>
      <c r="T196">
        <f t="shared" si="34"/>
        <v>12</v>
      </c>
      <c r="U196" t="str">
        <f t="shared" si="35"/>
        <v>Low Profit</v>
      </c>
    </row>
    <row r="197" spans="1:21" x14ac:dyDescent="0.35">
      <c r="A197" s="5" t="s">
        <v>19</v>
      </c>
      <c r="B197" s="5" t="s">
        <v>320</v>
      </c>
      <c r="C197" t="s">
        <v>60</v>
      </c>
      <c r="D197" t="s">
        <v>360</v>
      </c>
      <c r="E197" t="s">
        <v>29</v>
      </c>
      <c r="F197" t="s">
        <v>66</v>
      </c>
      <c r="G197" s="3">
        <v>42437</v>
      </c>
      <c r="H197">
        <v>276661765</v>
      </c>
      <c r="I197" s="3">
        <v>42480</v>
      </c>
      <c r="J197">
        <v>9219</v>
      </c>
      <c r="K197">
        <v>668.27</v>
      </c>
      <c r="L197">
        <v>502.54</v>
      </c>
      <c r="M197">
        <f t="shared" si="27"/>
        <v>6160781.1299999999</v>
      </c>
      <c r="N197">
        <f t="shared" si="28"/>
        <v>4632916.26</v>
      </c>
      <c r="O197">
        <f t="shared" si="29"/>
        <v>1527864.87</v>
      </c>
      <c r="P197" s="6">
        <f t="shared" si="30"/>
        <v>0.24799856345489102</v>
      </c>
      <c r="Q197">
        <f t="shared" si="31"/>
        <v>43</v>
      </c>
      <c r="R197">
        <f t="shared" si="32"/>
        <v>2016</v>
      </c>
      <c r="S197" t="str">
        <f t="shared" si="33"/>
        <v>March</v>
      </c>
      <c r="T197">
        <f t="shared" si="34"/>
        <v>3</v>
      </c>
      <c r="U197" t="str">
        <f t="shared" si="35"/>
        <v>High Profit</v>
      </c>
    </row>
    <row r="198" spans="1:21" x14ac:dyDescent="0.35">
      <c r="A198" s="5" t="s">
        <v>42</v>
      </c>
      <c r="B198" s="5" t="s">
        <v>361</v>
      </c>
      <c r="C198" t="s">
        <v>30</v>
      </c>
      <c r="D198" t="s">
        <v>362</v>
      </c>
      <c r="E198" t="s">
        <v>29</v>
      </c>
      <c r="F198" t="s">
        <v>66</v>
      </c>
      <c r="G198" s="3">
        <v>40561</v>
      </c>
      <c r="H198">
        <v>373335015</v>
      </c>
      <c r="I198" s="3">
        <v>40602</v>
      </c>
      <c r="J198">
        <v>6982</v>
      </c>
      <c r="K198">
        <v>255.28</v>
      </c>
      <c r="L198">
        <v>159.41999999999999</v>
      </c>
      <c r="M198">
        <f t="shared" si="27"/>
        <v>1782364.96</v>
      </c>
      <c r="N198">
        <f t="shared" si="28"/>
        <v>1113070.44</v>
      </c>
      <c r="O198">
        <f t="shared" si="29"/>
        <v>669294.52</v>
      </c>
      <c r="P198" s="6">
        <f t="shared" si="30"/>
        <v>0.37550924475086184</v>
      </c>
      <c r="Q198">
        <f t="shared" si="31"/>
        <v>41</v>
      </c>
      <c r="R198">
        <f t="shared" si="32"/>
        <v>2011</v>
      </c>
      <c r="S198" t="str">
        <f t="shared" si="33"/>
        <v>January</v>
      </c>
      <c r="T198">
        <f t="shared" si="34"/>
        <v>1</v>
      </c>
      <c r="U198" t="str">
        <f t="shared" si="35"/>
        <v>High Profit</v>
      </c>
    </row>
    <row r="199" spans="1:21" x14ac:dyDescent="0.35">
      <c r="A199" s="5" t="s">
        <v>42</v>
      </c>
      <c r="B199" s="5" t="s">
        <v>363</v>
      </c>
      <c r="C199" t="s">
        <v>48</v>
      </c>
      <c r="D199" t="s">
        <v>364</v>
      </c>
      <c r="E199" t="s">
        <v>29</v>
      </c>
      <c r="F199" t="s">
        <v>66</v>
      </c>
      <c r="G199" s="3">
        <v>41375</v>
      </c>
      <c r="H199">
        <v>782857692</v>
      </c>
      <c r="I199" s="3">
        <v>41422</v>
      </c>
      <c r="J199">
        <v>3843</v>
      </c>
      <c r="K199">
        <v>109.28</v>
      </c>
      <c r="L199">
        <v>35.840000000000003</v>
      </c>
      <c r="M199">
        <f t="shared" si="27"/>
        <v>419963.04</v>
      </c>
      <c r="N199">
        <f t="shared" si="28"/>
        <v>137733.12000000002</v>
      </c>
      <c r="O199">
        <f t="shared" si="29"/>
        <v>282229.91999999993</v>
      </c>
      <c r="P199" s="6">
        <f t="shared" si="30"/>
        <v>0.67203513909224</v>
      </c>
      <c r="Q199">
        <f t="shared" si="31"/>
        <v>47</v>
      </c>
      <c r="R199">
        <f t="shared" si="32"/>
        <v>2013</v>
      </c>
      <c r="S199" t="str">
        <f t="shared" si="33"/>
        <v>April</v>
      </c>
      <c r="T199">
        <f t="shared" si="34"/>
        <v>4</v>
      </c>
      <c r="U199" t="str">
        <f t="shared" si="35"/>
        <v>Medium Profit</v>
      </c>
    </row>
    <row r="200" spans="1:21" x14ac:dyDescent="0.35">
      <c r="A200" s="5" t="s">
        <v>37</v>
      </c>
      <c r="B200" s="5" t="s">
        <v>186</v>
      </c>
      <c r="C200" t="s">
        <v>39</v>
      </c>
      <c r="D200" t="s">
        <v>365</v>
      </c>
      <c r="E200" t="s">
        <v>29</v>
      </c>
      <c r="F200" t="s">
        <v>41</v>
      </c>
      <c r="G200" s="3">
        <v>40316</v>
      </c>
      <c r="H200">
        <v>109966123</v>
      </c>
      <c r="I200" s="3">
        <v>40334</v>
      </c>
      <c r="J200">
        <v>274</v>
      </c>
      <c r="K200">
        <v>9.33</v>
      </c>
      <c r="L200">
        <v>6.92</v>
      </c>
      <c r="M200">
        <f t="shared" si="27"/>
        <v>2556.42</v>
      </c>
      <c r="N200">
        <f t="shared" si="28"/>
        <v>1896.08</v>
      </c>
      <c r="O200">
        <f t="shared" si="29"/>
        <v>660.34000000000015</v>
      </c>
      <c r="P200" s="6">
        <f t="shared" si="30"/>
        <v>0.25830653804930337</v>
      </c>
      <c r="Q200">
        <f t="shared" si="31"/>
        <v>18</v>
      </c>
      <c r="R200">
        <f t="shared" si="32"/>
        <v>2010</v>
      </c>
      <c r="S200" t="str">
        <f t="shared" si="33"/>
        <v>May</v>
      </c>
      <c r="T200">
        <f t="shared" si="34"/>
        <v>5</v>
      </c>
      <c r="U200" t="str">
        <f t="shared" si="35"/>
        <v>Low Profit</v>
      </c>
    </row>
    <row r="201" spans="1:21" x14ac:dyDescent="0.35">
      <c r="A201" s="5" t="s">
        <v>50</v>
      </c>
      <c r="B201" s="5" t="s">
        <v>366</v>
      </c>
      <c r="C201" t="s">
        <v>35</v>
      </c>
      <c r="D201" t="s">
        <v>367</v>
      </c>
      <c r="E201" t="s">
        <v>23</v>
      </c>
      <c r="F201" t="s">
        <v>24</v>
      </c>
      <c r="G201" s="3">
        <v>42891</v>
      </c>
      <c r="H201">
        <v>629709136</v>
      </c>
      <c r="I201" s="3">
        <v>42892</v>
      </c>
      <c r="J201">
        <v>3782</v>
      </c>
      <c r="K201">
        <v>205.7</v>
      </c>
      <c r="L201">
        <v>117.11</v>
      </c>
      <c r="M201">
        <f t="shared" si="27"/>
        <v>777957.39999999991</v>
      </c>
      <c r="N201">
        <f t="shared" si="28"/>
        <v>442910.02</v>
      </c>
      <c r="O201">
        <f t="shared" si="29"/>
        <v>335047.37999999989</v>
      </c>
      <c r="P201" s="6">
        <f t="shared" si="30"/>
        <v>0.43067574137092846</v>
      </c>
      <c r="Q201">
        <f t="shared" si="31"/>
        <v>1</v>
      </c>
      <c r="R201">
        <f t="shared" si="32"/>
        <v>2017</v>
      </c>
      <c r="S201" t="str">
        <f t="shared" si="33"/>
        <v>June</v>
      </c>
      <c r="T201">
        <f t="shared" si="34"/>
        <v>6</v>
      </c>
      <c r="U201" t="str">
        <f t="shared" si="35"/>
        <v>Medium Profit</v>
      </c>
    </row>
    <row r="202" spans="1:21" x14ac:dyDescent="0.35">
      <c r="A202" s="5" t="s">
        <v>33</v>
      </c>
      <c r="B202" s="5" t="s">
        <v>231</v>
      </c>
      <c r="C202" t="s">
        <v>83</v>
      </c>
      <c r="D202" t="s">
        <v>368</v>
      </c>
      <c r="E202" t="s">
        <v>29</v>
      </c>
      <c r="F202" t="s">
        <v>66</v>
      </c>
      <c r="G202" s="3">
        <v>41163</v>
      </c>
      <c r="H202">
        <v>637448060</v>
      </c>
      <c r="I202" s="3">
        <v>41167</v>
      </c>
      <c r="J202">
        <v>3901</v>
      </c>
      <c r="K202">
        <v>81.73</v>
      </c>
      <c r="L202">
        <v>56.67</v>
      </c>
      <c r="M202">
        <f t="shared" si="27"/>
        <v>318828.73000000004</v>
      </c>
      <c r="N202">
        <f t="shared" si="28"/>
        <v>221069.67</v>
      </c>
      <c r="O202">
        <f t="shared" si="29"/>
        <v>97759.060000000027</v>
      </c>
      <c r="P202" s="6">
        <f t="shared" si="30"/>
        <v>0.30661935641747223</v>
      </c>
      <c r="Q202">
        <f t="shared" si="31"/>
        <v>4</v>
      </c>
      <c r="R202">
        <f t="shared" si="32"/>
        <v>2012</v>
      </c>
      <c r="S202" t="str">
        <f t="shared" si="33"/>
        <v>September</v>
      </c>
      <c r="T202">
        <f t="shared" si="34"/>
        <v>9</v>
      </c>
      <c r="U202" t="str">
        <f t="shared" si="35"/>
        <v>Low Profit</v>
      </c>
    </row>
    <row r="203" spans="1:21" x14ac:dyDescent="0.35">
      <c r="A203" s="5" t="s">
        <v>37</v>
      </c>
      <c r="B203" s="5" t="s">
        <v>164</v>
      </c>
      <c r="C203" t="s">
        <v>30</v>
      </c>
      <c r="D203" t="s">
        <v>369</v>
      </c>
      <c r="E203" t="s">
        <v>29</v>
      </c>
      <c r="F203" t="s">
        <v>41</v>
      </c>
      <c r="G203" s="3">
        <v>42802</v>
      </c>
      <c r="H203">
        <v>298856723</v>
      </c>
      <c r="I203" s="3">
        <v>42828</v>
      </c>
      <c r="J203">
        <v>7200</v>
      </c>
      <c r="K203">
        <v>255.28</v>
      </c>
      <c r="L203">
        <v>159.41999999999999</v>
      </c>
      <c r="M203">
        <f t="shared" si="27"/>
        <v>1838016</v>
      </c>
      <c r="N203">
        <f t="shared" si="28"/>
        <v>1147824</v>
      </c>
      <c r="O203">
        <f t="shared" si="29"/>
        <v>690192</v>
      </c>
      <c r="P203" s="6">
        <f t="shared" si="30"/>
        <v>0.37550924475086178</v>
      </c>
      <c r="Q203">
        <f t="shared" si="31"/>
        <v>26</v>
      </c>
      <c r="R203">
        <f t="shared" si="32"/>
        <v>2017</v>
      </c>
      <c r="S203" t="str">
        <f t="shared" si="33"/>
        <v>March</v>
      </c>
      <c r="T203">
        <f t="shared" si="34"/>
        <v>3</v>
      </c>
      <c r="U203" t="str">
        <f t="shared" si="35"/>
        <v>High Profit</v>
      </c>
    </row>
    <row r="204" spans="1:21" x14ac:dyDescent="0.35">
      <c r="A204" s="5" t="s">
        <v>42</v>
      </c>
      <c r="B204" s="5" t="s">
        <v>180</v>
      </c>
      <c r="C204" t="s">
        <v>60</v>
      </c>
      <c r="D204" t="s">
        <v>370</v>
      </c>
      <c r="E204" t="s">
        <v>23</v>
      </c>
      <c r="F204" t="s">
        <v>66</v>
      </c>
      <c r="G204" s="3">
        <v>42032</v>
      </c>
      <c r="H204">
        <v>299921452</v>
      </c>
      <c r="I204" s="3">
        <v>42058</v>
      </c>
      <c r="J204">
        <v>2278</v>
      </c>
      <c r="K204">
        <v>668.27</v>
      </c>
      <c r="L204">
        <v>502.54</v>
      </c>
      <c r="M204">
        <f t="shared" si="27"/>
        <v>1522319.06</v>
      </c>
      <c r="N204">
        <f t="shared" si="28"/>
        <v>1144786.1200000001</v>
      </c>
      <c r="O204">
        <f t="shared" si="29"/>
        <v>377532.93999999994</v>
      </c>
      <c r="P204" s="6">
        <f t="shared" si="30"/>
        <v>0.24799856345489094</v>
      </c>
      <c r="Q204">
        <f t="shared" si="31"/>
        <v>26</v>
      </c>
      <c r="R204">
        <f t="shared" si="32"/>
        <v>2015</v>
      </c>
      <c r="S204" t="str">
        <f t="shared" si="33"/>
        <v>January</v>
      </c>
      <c r="T204">
        <f t="shared" si="34"/>
        <v>1</v>
      </c>
      <c r="U204" t="str">
        <f t="shared" si="35"/>
        <v>Medium Profit</v>
      </c>
    </row>
    <row r="205" spans="1:21" x14ac:dyDescent="0.35">
      <c r="A205" s="5" t="s">
        <v>33</v>
      </c>
      <c r="B205" s="5" t="s">
        <v>237</v>
      </c>
      <c r="C205" t="s">
        <v>83</v>
      </c>
      <c r="D205" t="s">
        <v>371</v>
      </c>
      <c r="E205" t="s">
        <v>23</v>
      </c>
      <c r="F205" t="s">
        <v>24</v>
      </c>
      <c r="G205" s="3">
        <v>40385</v>
      </c>
      <c r="H205">
        <v>496941077</v>
      </c>
      <c r="I205" s="3">
        <v>40388</v>
      </c>
      <c r="J205">
        <v>4763</v>
      </c>
      <c r="K205">
        <v>81.73</v>
      </c>
      <c r="L205">
        <v>56.67</v>
      </c>
      <c r="M205">
        <f t="shared" si="27"/>
        <v>389279.99</v>
      </c>
      <c r="N205">
        <f t="shared" si="28"/>
        <v>269919.21000000002</v>
      </c>
      <c r="O205">
        <f t="shared" si="29"/>
        <v>119360.77999999997</v>
      </c>
      <c r="P205" s="6">
        <f t="shared" si="30"/>
        <v>0.30661935641747207</v>
      </c>
      <c r="Q205">
        <f t="shared" si="31"/>
        <v>3</v>
      </c>
      <c r="R205">
        <f t="shared" si="32"/>
        <v>2010</v>
      </c>
      <c r="S205" t="str">
        <f t="shared" si="33"/>
        <v>July</v>
      </c>
      <c r="T205">
        <f t="shared" si="34"/>
        <v>7</v>
      </c>
      <c r="U205" t="str">
        <f t="shared" si="35"/>
        <v>Medium Profit</v>
      </c>
    </row>
    <row r="206" spans="1:21" x14ac:dyDescent="0.35">
      <c r="A206" s="5" t="s">
        <v>33</v>
      </c>
      <c r="B206" s="5" t="s">
        <v>372</v>
      </c>
      <c r="C206" t="s">
        <v>58</v>
      </c>
      <c r="D206" t="s">
        <v>373</v>
      </c>
      <c r="E206" t="s">
        <v>29</v>
      </c>
      <c r="F206" t="s">
        <v>66</v>
      </c>
      <c r="G206" s="3">
        <v>42545</v>
      </c>
      <c r="H206">
        <v>366526925</v>
      </c>
      <c r="I206" s="3">
        <v>42565</v>
      </c>
      <c r="J206">
        <v>2317</v>
      </c>
      <c r="K206">
        <v>152.58000000000001</v>
      </c>
      <c r="L206">
        <v>97.44</v>
      </c>
      <c r="M206">
        <f t="shared" si="27"/>
        <v>353527.86000000004</v>
      </c>
      <c r="N206">
        <f t="shared" si="28"/>
        <v>225768.47999999998</v>
      </c>
      <c r="O206">
        <f t="shared" si="29"/>
        <v>127759.38000000006</v>
      </c>
      <c r="P206" s="6">
        <f t="shared" si="30"/>
        <v>0.36138419189933163</v>
      </c>
      <c r="Q206">
        <f t="shared" si="31"/>
        <v>20</v>
      </c>
      <c r="R206">
        <f t="shared" si="32"/>
        <v>2016</v>
      </c>
      <c r="S206" t="str">
        <f t="shared" si="33"/>
        <v>June</v>
      </c>
      <c r="T206">
        <f t="shared" si="34"/>
        <v>6</v>
      </c>
      <c r="U206" t="str">
        <f t="shared" si="35"/>
        <v>Medium Profit</v>
      </c>
    </row>
    <row r="207" spans="1:21" x14ac:dyDescent="0.35">
      <c r="A207" s="5" t="s">
        <v>53</v>
      </c>
      <c r="B207" s="5" t="s">
        <v>206</v>
      </c>
      <c r="C207" t="s">
        <v>92</v>
      </c>
      <c r="D207" t="s">
        <v>374</v>
      </c>
      <c r="E207" t="s">
        <v>23</v>
      </c>
      <c r="F207" t="s">
        <v>24</v>
      </c>
      <c r="G207" s="3">
        <v>41139</v>
      </c>
      <c r="H207">
        <v>355602824</v>
      </c>
      <c r="I207" s="3">
        <v>41167</v>
      </c>
      <c r="J207">
        <v>9633</v>
      </c>
      <c r="K207">
        <v>421.89</v>
      </c>
      <c r="L207">
        <v>364.69</v>
      </c>
      <c r="M207">
        <f t="shared" si="27"/>
        <v>4064066.3699999996</v>
      </c>
      <c r="N207">
        <f t="shared" si="28"/>
        <v>3513058.77</v>
      </c>
      <c r="O207">
        <f t="shared" si="29"/>
        <v>551007.59999999963</v>
      </c>
      <c r="P207" s="6">
        <f t="shared" si="30"/>
        <v>0.13558036455000111</v>
      </c>
      <c r="Q207">
        <f t="shared" si="31"/>
        <v>28</v>
      </c>
      <c r="R207">
        <f t="shared" si="32"/>
        <v>2012</v>
      </c>
      <c r="S207" t="str">
        <f t="shared" si="33"/>
        <v>August</v>
      </c>
      <c r="T207">
        <f t="shared" si="34"/>
        <v>8</v>
      </c>
      <c r="U207" t="str">
        <f t="shared" si="35"/>
        <v>High Profit</v>
      </c>
    </row>
    <row r="208" spans="1:21" x14ac:dyDescent="0.35">
      <c r="A208" s="5" t="s">
        <v>37</v>
      </c>
      <c r="B208" s="5" t="s">
        <v>115</v>
      </c>
      <c r="C208" t="s">
        <v>27</v>
      </c>
      <c r="D208" t="s">
        <v>375</v>
      </c>
      <c r="E208" t="s">
        <v>29</v>
      </c>
      <c r="F208" t="s">
        <v>32</v>
      </c>
      <c r="G208" s="3">
        <v>40248</v>
      </c>
      <c r="H208">
        <v>531405103</v>
      </c>
      <c r="I208" s="3">
        <v>40287</v>
      </c>
      <c r="J208">
        <v>3434</v>
      </c>
      <c r="K208">
        <v>154.06</v>
      </c>
      <c r="L208">
        <v>90.93</v>
      </c>
      <c r="M208">
        <f t="shared" si="27"/>
        <v>529042.04</v>
      </c>
      <c r="N208">
        <f t="shared" si="28"/>
        <v>312253.62</v>
      </c>
      <c r="O208">
        <f t="shared" si="29"/>
        <v>216788.42000000004</v>
      </c>
      <c r="P208" s="6">
        <f t="shared" si="30"/>
        <v>0.40977541217707392</v>
      </c>
      <c r="Q208">
        <f t="shared" si="31"/>
        <v>39</v>
      </c>
      <c r="R208">
        <f t="shared" si="32"/>
        <v>2010</v>
      </c>
      <c r="S208" t="str">
        <f t="shared" si="33"/>
        <v>March</v>
      </c>
      <c r="T208">
        <f t="shared" si="34"/>
        <v>3</v>
      </c>
      <c r="U208" t="str">
        <f t="shared" si="35"/>
        <v>Medium Profit</v>
      </c>
    </row>
    <row r="209" spans="1:21" x14ac:dyDescent="0.35">
      <c r="A209" s="5" t="s">
        <v>53</v>
      </c>
      <c r="B209" s="5" t="s">
        <v>376</v>
      </c>
      <c r="C209" t="s">
        <v>27</v>
      </c>
      <c r="D209" t="s">
        <v>377</v>
      </c>
      <c r="E209" t="s">
        <v>23</v>
      </c>
      <c r="F209" t="s">
        <v>24</v>
      </c>
      <c r="G209" s="3">
        <v>40192</v>
      </c>
      <c r="H209">
        <v>131482589</v>
      </c>
      <c r="I209" s="3">
        <v>40198</v>
      </c>
      <c r="J209">
        <v>7475</v>
      </c>
      <c r="K209">
        <v>154.06</v>
      </c>
      <c r="L209">
        <v>90.93</v>
      </c>
      <c r="M209">
        <f t="shared" si="27"/>
        <v>1151598.5</v>
      </c>
      <c r="N209">
        <f t="shared" si="28"/>
        <v>679701.75</v>
      </c>
      <c r="O209">
        <f t="shared" si="29"/>
        <v>471896.75</v>
      </c>
      <c r="P209" s="6">
        <f t="shared" si="30"/>
        <v>0.40977541217707386</v>
      </c>
      <c r="Q209">
        <f t="shared" si="31"/>
        <v>6</v>
      </c>
      <c r="R209">
        <f t="shared" si="32"/>
        <v>2010</v>
      </c>
      <c r="S209" t="str">
        <f t="shared" si="33"/>
        <v>January</v>
      </c>
      <c r="T209">
        <f t="shared" si="34"/>
        <v>1</v>
      </c>
      <c r="U209" t="str">
        <f t="shared" si="35"/>
        <v>Medium Profit</v>
      </c>
    </row>
    <row r="210" spans="1:21" x14ac:dyDescent="0.35">
      <c r="A210" s="5" t="s">
        <v>37</v>
      </c>
      <c r="B210" s="5" t="s">
        <v>107</v>
      </c>
      <c r="C210" t="s">
        <v>35</v>
      </c>
      <c r="D210" t="s">
        <v>378</v>
      </c>
      <c r="E210" t="s">
        <v>29</v>
      </c>
      <c r="F210" t="s">
        <v>66</v>
      </c>
      <c r="G210" s="3">
        <v>41680</v>
      </c>
      <c r="H210">
        <v>713696610</v>
      </c>
      <c r="I210" s="3">
        <v>41726</v>
      </c>
      <c r="J210">
        <v>7542</v>
      </c>
      <c r="K210">
        <v>205.7</v>
      </c>
      <c r="L210">
        <v>117.11</v>
      </c>
      <c r="M210">
        <f t="shared" si="27"/>
        <v>1551389.4</v>
      </c>
      <c r="N210">
        <f t="shared" si="28"/>
        <v>883243.62</v>
      </c>
      <c r="O210">
        <f t="shared" si="29"/>
        <v>668145.77999999991</v>
      </c>
      <c r="P210" s="6">
        <f t="shared" si="30"/>
        <v>0.43067574137092851</v>
      </c>
      <c r="Q210">
        <f t="shared" si="31"/>
        <v>46</v>
      </c>
      <c r="R210">
        <f t="shared" si="32"/>
        <v>2014</v>
      </c>
      <c r="S210" t="str">
        <f t="shared" si="33"/>
        <v>February</v>
      </c>
      <c r="T210">
        <f t="shared" si="34"/>
        <v>2</v>
      </c>
      <c r="U210" t="str">
        <f t="shared" si="35"/>
        <v>High Profit</v>
      </c>
    </row>
    <row r="211" spans="1:21" x14ac:dyDescent="0.35">
      <c r="A211" s="5" t="s">
        <v>42</v>
      </c>
      <c r="B211" s="5" t="s">
        <v>379</v>
      </c>
      <c r="C211" t="s">
        <v>27</v>
      </c>
      <c r="D211" t="s">
        <v>380</v>
      </c>
      <c r="E211" t="s">
        <v>29</v>
      </c>
      <c r="F211" t="s">
        <v>32</v>
      </c>
      <c r="G211" s="3">
        <v>41660</v>
      </c>
      <c r="H211">
        <v>306220996</v>
      </c>
      <c r="I211" s="3">
        <v>41669</v>
      </c>
      <c r="J211">
        <v>6452</v>
      </c>
      <c r="K211">
        <v>154.06</v>
      </c>
      <c r="L211">
        <v>90.93</v>
      </c>
      <c r="M211">
        <f t="shared" si="27"/>
        <v>993995.12</v>
      </c>
      <c r="N211">
        <f t="shared" si="28"/>
        <v>586680.36</v>
      </c>
      <c r="O211">
        <f t="shared" si="29"/>
        <v>407314.76</v>
      </c>
      <c r="P211" s="6">
        <f t="shared" si="30"/>
        <v>0.40977541217707386</v>
      </c>
      <c r="Q211">
        <f t="shared" si="31"/>
        <v>9</v>
      </c>
      <c r="R211">
        <f t="shared" si="32"/>
        <v>2014</v>
      </c>
      <c r="S211" t="str">
        <f t="shared" si="33"/>
        <v>January</v>
      </c>
      <c r="T211">
        <f t="shared" si="34"/>
        <v>1</v>
      </c>
      <c r="U211" t="str">
        <f t="shared" si="35"/>
        <v>Medium Profit</v>
      </c>
    </row>
    <row r="212" spans="1:21" x14ac:dyDescent="0.35">
      <c r="A212" s="5" t="s">
        <v>53</v>
      </c>
      <c r="B212" s="5" t="s">
        <v>381</v>
      </c>
      <c r="C212" t="s">
        <v>60</v>
      </c>
      <c r="D212" t="s">
        <v>382</v>
      </c>
      <c r="E212" t="s">
        <v>23</v>
      </c>
      <c r="F212" t="s">
        <v>66</v>
      </c>
      <c r="G212" s="3">
        <v>40237</v>
      </c>
      <c r="H212">
        <v>157542073</v>
      </c>
      <c r="I212" s="3">
        <v>40252</v>
      </c>
      <c r="J212">
        <v>9055</v>
      </c>
      <c r="K212">
        <v>668.27</v>
      </c>
      <c r="L212">
        <v>502.54</v>
      </c>
      <c r="M212">
        <f t="shared" si="27"/>
        <v>6051184.8499999996</v>
      </c>
      <c r="N212">
        <f t="shared" si="28"/>
        <v>4550499.7</v>
      </c>
      <c r="O212">
        <f t="shared" si="29"/>
        <v>1500685.1499999994</v>
      </c>
      <c r="P212" s="6">
        <f t="shared" si="30"/>
        <v>0.24799856345489091</v>
      </c>
      <c r="Q212">
        <f t="shared" si="31"/>
        <v>15</v>
      </c>
      <c r="R212">
        <f t="shared" si="32"/>
        <v>2010</v>
      </c>
      <c r="S212" t="str">
        <f t="shared" si="33"/>
        <v>February</v>
      </c>
      <c r="T212">
        <f t="shared" si="34"/>
        <v>2</v>
      </c>
      <c r="U212" t="str">
        <f t="shared" si="35"/>
        <v>High Profit</v>
      </c>
    </row>
    <row r="213" spans="1:21" x14ac:dyDescent="0.35">
      <c r="A213" s="5" t="s">
        <v>37</v>
      </c>
      <c r="B213" s="5" t="s">
        <v>94</v>
      </c>
      <c r="C213" t="s">
        <v>83</v>
      </c>
      <c r="D213" t="s">
        <v>383</v>
      </c>
      <c r="E213" t="s">
        <v>29</v>
      </c>
      <c r="F213" t="s">
        <v>66</v>
      </c>
      <c r="G213" s="3">
        <v>42053</v>
      </c>
      <c r="H213">
        <v>686458671</v>
      </c>
      <c r="I213" s="3">
        <v>42071</v>
      </c>
      <c r="J213">
        <v>7230</v>
      </c>
      <c r="K213">
        <v>81.73</v>
      </c>
      <c r="L213">
        <v>56.67</v>
      </c>
      <c r="M213">
        <f t="shared" si="27"/>
        <v>590907.9</v>
      </c>
      <c r="N213">
        <f t="shared" si="28"/>
        <v>409724.10000000003</v>
      </c>
      <c r="O213">
        <f t="shared" si="29"/>
        <v>181183.8</v>
      </c>
      <c r="P213" s="6">
        <f t="shared" si="30"/>
        <v>0.30661935641747212</v>
      </c>
      <c r="Q213">
        <f t="shared" si="31"/>
        <v>18</v>
      </c>
      <c r="R213">
        <f t="shared" si="32"/>
        <v>2015</v>
      </c>
      <c r="S213" t="str">
        <f t="shared" si="33"/>
        <v>February</v>
      </c>
      <c r="T213">
        <f t="shared" si="34"/>
        <v>2</v>
      </c>
      <c r="U213" t="str">
        <f t="shared" si="35"/>
        <v>Medium Profit</v>
      </c>
    </row>
    <row r="214" spans="1:21" x14ac:dyDescent="0.35">
      <c r="A214" s="5" t="s">
        <v>37</v>
      </c>
      <c r="B214" s="5" t="s">
        <v>384</v>
      </c>
      <c r="C214" t="s">
        <v>69</v>
      </c>
      <c r="D214" t="s">
        <v>385</v>
      </c>
      <c r="E214" t="s">
        <v>29</v>
      </c>
      <c r="F214" t="s">
        <v>24</v>
      </c>
      <c r="G214" s="3">
        <v>41074</v>
      </c>
      <c r="H214">
        <v>132082116</v>
      </c>
      <c r="I214" s="3">
        <v>41112</v>
      </c>
      <c r="J214">
        <v>4888</v>
      </c>
      <c r="K214">
        <v>651.21</v>
      </c>
      <c r="L214">
        <v>524.96</v>
      </c>
      <c r="M214">
        <f t="shared" si="27"/>
        <v>3183114.48</v>
      </c>
      <c r="N214">
        <f t="shared" si="28"/>
        <v>2566004.48</v>
      </c>
      <c r="O214">
        <f t="shared" si="29"/>
        <v>617110</v>
      </c>
      <c r="P214" s="6">
        <f t="shared" si="30"/>
        <v>0.19386987300563566</v>
      </c>
      <c r="Q214">
        <f t="shared" si="31"/>
        <v>38</v>
      </c>
      <c r="R214">
        <f t="shared" si="32"/>
        <v>2012</v>
      </c>
      <c r="S214" t="str">
        <f t="shared" si="33"/>
        <v>June</v>
      </c>
      <c r="T214">
        <f t="shared" si="34"/>
        <v>6</v>
      </c>
      <c r="U214" t="str">
        <f t="shared" si="35"/>
        <v>High Profit</v>
      </c>
    </row>
    <row r="215" spans="1:21" x14ac:dyDescent="0.35">
      <c r="A215" s="5" t="s">
        <v>42</v>
      </c>
      <c r="B215" s="5" t="s">
        <v>80</v>
      </c>
      <c r="C215" t="s">
        <v>48</v>
      </c>
      <c r="D215" t="s">
        <v>386</v>
      </c>
      <c r="E215" t="s">
        <v>29</v>
      </c>
      <c r="F215" t="s">
        <v>66</v>
      </c>
      <c r="G215" s="3">
        <v>41338</v>
      </c>
      <c r="H215">
        <v>403836238</v>
      </c>
      <c r="I215" s="3">
        <v>41367</v>
      </c>
      <c r="J215">
        <v>2972</v>
      </c>
      <c r="K215">
        <v>109.28</v>
      </c>
      <c r="L215">
        <v>35.840000000000003</v>
      </c>
      <c r="M215">
        <f t="shared" si="27"/>
        <v>324780.15999999997</v>
      </c>
      <c r="N215">
        <f t="shared" si="28"/>
        <v>106516.48000000001</v>
      </c>
      <c r="O215">
        <f t="shared" si="29"/>
        <v>218263.67999999996</v>
      </c>
      <c r="P215" s="6">
        <f t="shared" si="30"/>
        <v>0.67203513909224011</v>
      </c>
      <c r="Q215">
        <f t="shared" si="31"/>
        <v>29</v>
      </c>
      <c r="R215">
        <f t="shared" si="32"/>
        <v>2013</v>
      </c>
      <c r="S215" t="str">
        <f t="shared" si="33"/>
        <v>March</v>
      </c>
      <c r="T215">
        <f t="shared" si="34"/>
        <v>3</v>
      </c>
      <c r="U215" t="str">
        <f t="shared" si="35"/>
        <v>Medium Profit</v>
      </c>
    </row>
    <row r="216" spans="1:21" x14ac:dyDescent="0.35">
      <c r="A216" s="5" t="s">
        <v>42</v>
      </c>
      <c r="B216" s="5" t="s">
        <v>387</v>
      </c>
      <c r="C216" t="s">
        <v>60</v>
      </c>
      <c r="D216" t="s">
        <v>388</v>
      </c>
      <c r="E216" t="s">
        <v>29</v>
      </c>
      <c r="F216" t="s">
        <v>32</v>
      </c>
      <c r="G216" s="3">
        <v>41739</v>
      </c>
      <c r="H216">
        <v>331457364</v>
      </c>
      <c r="I216" s="3">
        <v>41752</v>
      </c>
      <c r="J216">
        <v>4455</v>
      </c>
      <c r="K216">
        <v>668.27</v>
      </c>
      <c r="L216">
        <v>502.54</v>
      </c>
      <c r="M216">
        <f t="shared" si="27"/>
        <v>2977142.85</v>
      </c>
      <c r="N216">
        <f t="shared" si="28"/>
        <v>2238815.7000000002</v>
      </c>
      <c r="O216">
        <f t="shared" si="29"/>
        <v>738327.14999999991</v>
      </c>
      <c r="P216" s="6">
        <f t="shared" si="30"/>
        <v>0.24799856345489094</v>
      </c>
      <c r="Q216">
        <f t="shared" si="31"/>
        <v>13</v>
      </c>
      <c r="R216">
        <f t="shared" si="32"/>
        <v>2014</v>
      </c>
      <c r="S216" t="str">
        <f t="shared" si="33"/>
        <v>April</v>
      </c>
      <c r="T216">
        <f t="shared" si="34"/>
        <v>4</v>
      </c>
      <c r="U216" t="str">
        <f t="shared" si="35"/>
        <v>High Profit</v>
      </c>
    </row>
    <row r="217" spans="1:21" x14ac:dyDescent="0.35">
      <c r="A217" s="5" t="s">
        <v>53</v>
      </c>
      <c r="B217" s="5" t="s">
        <v>131</v>
      </c>
      <c r="C217" t="s">
        <v>92</v>
      </c>
      <c r="D217" t="s">
        <v>389</v>
      </c>
      <c r="E217" t="s">
        <v>29</v>
      </c>
      <c r="F217" t="s">
        <v>41</v>
      </c>
      <c r="G217" s="3">
        <v>42942</v>
      </c>
      <c r="H217">
        <v>614994323</v>
      </c>
      <c r="I217" s="3">
        <v>42990</v>
      </c>
      <c r="J217">
        <v>9341</v>
      </c>
      <c r="K217">
        <v>421.89</v>
      </c>
      <c r="L217">
        <v>364.69</v>
      </c>
      <c r="M217">
        <f t="shared" si="27"/>
        <v>3940874.4899999998</v>
      </c>
      <c r="N217">
        <f t="shared" si="28"/>
        <v>3406569.29</v>
      </c>
      <c r="O217">
        <f t="shared" si="29"/>
        <v>534305.19999999972</v>
      </c>
      <c r="P217" s="6">
        <f t="shared" si="30"/>
        <v>0.13558036455000111</v>
      </c>
      <c r="Q217">
        <f t="shared" si="31"/>
        <v>48</v>
      </c>
      <c r="R217">
        <f t="shared" si="32"/>
        <v>2017</v>
      </c>
      <c r="S217" t="str">
        <f t="shared" si="33"/>
        <v>July</v>
      </c>
      <c r="T217">
        <f t="shared" si="34"/>
        <v>7</v>
      </c>
      <c r="U217" t="str">
        <f t="shared" si="35"/>
        <v>High Profit</v>
      </c>
    </row>
    <row r="218" spans="1:21" x14ac:dyDescent="0.35">
      <c r="A218" s="5" t="s">
        <v>42</v>
      </c>
      <c r="B218" s="5" t="s">
        <v>390</v>
      </c>
      <c r="C218" t="s">
        <v>39</v>
      </c>
      <c r="D218" t="s">
        <v>391</v>
      </c>
      <c r="E218" t="s">
        <v>23</v>
      </c>
      <c r="F218" t="s">
        <v>66</v>
      </c>
      <c r="G218" s="3">
        <v>40470</v>
      </c>
      <c r="H218">
        <v>674808442</v>
      </c>
      <c r="I218" s="3">
        <v>40475</v>
      </c>
      <c r="J218">
        <v>9669</v>
      </c>
      <c r="K218">
        <v>9.33</v>
      </c>
      <c r="L218">
        <v>6.92</v>
      </c>
      <c r="M218">
        <f t="shared" si="27"/>
        <v>90211.77</v>
      </c>
      <c r="N218">
        <f t="shared" si="28"/>
        <v>66909.48</v>
      </c>
      <c r="O218">
        <f t="shared" si="29"/>
        <v>23302.290000000008</v>
      </c>
      <c r="P218" s="6">
        <f t="shared" si="30"/>
        <v>0.25830653804930342</v>
      </c>
      <c r="Q218">
        <f t="shared" si="31"/>
        <v>5</v>
      </c>
      <c r="R218">
        <f t="shared" si="32"/>
        <v>2010</v>
      </c>
      <c r="S218" t="str">
        <f t="shared" si="33"/>
        <v>October</v>
      </c>
      <c r="T218">
        <f t="shared" si="34"/>
        <v>10</v>
      </c>
      <c r="U218" t="str">
        <f t="shared" si="35"/>
        <v>Low Profit</v>
      </c>
    </row>
    <row r="219" spans="1:21" x14ac:dyDescent="0.35">
      <c r="A219" s="5" t="s">
        <v>42</v>
      </c>
      <c r="B219" s="5" t="s">
        <v>390</v>
      </c>
      <c r="C219" t="s">
        <v>30</v>
      </c>
      <c r="D219" t="s">
        <v>392</v>
      </c>
      <c r="E219" t="s">
        <v>23</v>
      </c>
      <c r="F219" t="s">
        <v>66</v>
      </c>
      <c r="G219" s="3">
        <v>42682</v>
      </c>
      <c r="H219">
        <v>901573550</v>
      </c>
      <c r="I219" s="3">
        <v>42727</v>
      </c>
      <c r="J219">
        <v>4503</v>
      </c>
      <c r="K219">
        <v>255.28</v>
      </c>
      <c r="L219">
        <v>159.41999999999999</v>
      </c>
      <c r="M219">
        <f t="shared" si="27"/>
        <v>1149525.8400000001</v>
      </c>
      <c r="N219">
        <f t="shared" si="28"/>
        <v>717868.25999999989</v>
      </c>
      <c r="O219">
        <f t="shared" si="29"/>
        <v>431657.58000000019</v>
      </c>
      <c r="P219" s="6">
        <f t="shared" si="30"/>
        <v>0.37550924475086195</v>
      </c>
      <c r="Q219">
        <f t="shared" si="31"/>
        <v>45</v>
      </c>
      <c r="R219">
        <f t="shared" si="32"/>
        <v>2016</v>
      </c>
      <c r="S219" t="str">
        <f t="shared" si="33"/>
        <v>November</v>
      </c>
      <c r="T219">
        <f t="shared" si="34"/>
        <v>11</v>
      </c>
      <c r="U219" t="str">
        <f t="shared" si="35"/>
        <v>Medium Profit</v>
      </c>
    </row>
    <row r="220" spans="1:21" x14ac:dyDescent="0.35">
      <c r="A220" s="5" t="s">
        <v>37</v>
      </c>
      <c r="B220" s="5" t="s">
        <v>115</v>
      </c>
      <c r="C220" t="s">
        <v>48</v>
      </c>
      <c r="D220" t="s">
        <v>393</v>
      </c>
      <c r="E220" t="s">
        <v>29</v>
      </c>
      <c r="F220" t="s">
        <v>66</v>
      </c>
      <c r="G220" s="3">
        <v>41729</v>
      </c>
      <c r="H220">
        <v>406275975</v>
      </c>
      <c r="I220" s="3">
        <v>41769</v>
      </c>
      <c r="J220">
        <v>4944</v>
      </c>
      <c r="K220">
        <v>109.28</v>
      </c>
      <c r="L220">
        <v>35.840000000000003</v>
      </c>
      <c r="M220">
        <f t="shared" si="27"/>
        <v>540280.31999999995</v>
      </c>
      <c r="N220">
        <f t="shared" si="28"/>
        <v>177192.96000000002</v>
      </c>
      <c r="O220">
        <f t="shared" si="29"/>
        <v>363087.35999999993</v>
      </c>
      <c r="P220" s="6">
        <f t="shared" si="30"/>
        <v>0.67203513909224</v>
      </c>
      <c r="Q220">
        <f t="shared" si="31"/>
        <v>40</v>
      </c>
      <c r="R220">
        <f t="shared" si="32"/>
        <v>2014</v>
      </c>
      <c r="S220" t="str">
        <f t="shared" si="33"/>
        <v>March</v>
      </c>
      <c r="T220">
        <f t="shared" si="34"/>
        <v>3</v>
      </c>
      <c r="U220" t="str">
        <f t="shared" si="35"/>
        <v>Medium Profit</v>
      </c>
    </row>
    <row r="221" spans="1:21" x14ac:dyDescent="0.35">
      <c r="A221" s="5" t="s">
        <v>37</v>
      </c>
      <c r="B221" s="5" t="s">
        <v>56</v>
      </c>
      <c r="C221" t="s">
        <v>27</v>
      </c>
      <c r="D221" t="s">
        <v>394</v>
      </c>
      <c r="E221" t="s">
        <v>29</v>
      </c>
      <c r="F221" t="s">
        <v>32</v>
      </c>
      <c r="G221" s="3">
        <v>42600</v>
      </c>
      <c r="H221">
        <v>170214545</v>
      </c>
      <c r="I221" s="3">
        <v>42601</v>
      </c>
      <c r="J221">
        <v>9121</v>
      </c>
      <c r="K221">
        <v>154.06</v>
      </c>
      <c r="L221">
        <v>90.93</v>
      </c>
      <c r="M221">
        <f t="shared" si="27"/>
        <v>1405181.26</v>
      </c>
      <c r="N221">
        <f t="shared" si="28"/>
        <v>829372.53</v>
      </c>
      <c r="O221">
        <f t="shared" si="29"/>
        <v>575808.73</v>
      </c>
      <c r="P221" s="6">
        <f t="shared" si="30"/>
        <v>0.40977541217707386</v>
      </c>
      <c r="Q221">
        <f t="shared" si="31"/>
        <v>1</v>
      </c>
      <c r="R221">
        <f t="shared" si="32"/>
        <v>2016</v>
      </c>
      <c r="S221" t="str">
        <f t="shared" si="33"/>
        <v>August</v>
      </c>
      <c r="T221">
        <f t="shared" si="34"/>
        <v>8</v>
      </c>
      <c r="U221" t="str">
        <f t="shared" si="35"/>
        <v>High Profit</v>
      </c>
    </row>
    <row r="222" spans="1:21" x14ac:dyDescent="0.35">
      <c r="A222" s="5" t="s">
        <v>37</v>
      </c>
      <c r="B222" s="5" t="s">
        <v>395</v>
      </c>
      <c r="C222" t="s">
        <v>83</v>
      </c>
      <c r="D222" t="s">
        <v>396</v>
      </c>
      <c r="E222" t="s">
        <v>23</v>
      </c>
      <c r="F222" t="s">
        <v>32</v>
      </c>
      <c r="G222" s="3">
        <v>42372</v>
      </c>
      <c r="H222">
        <v>795000588</v>
      </c>
      <c r="I222" s="3">
        <v>42377</v>
      </c>
      <c r="J222">
        <v>7196</v>
      </c>
      <c r="K222">
        <v>81.73</v>
      </c>
      <c r="L222">
        <v>56.67</v>
      </c>
      <c r="M222">
        <f t="shared" si="27"/>
        <v>588129.08000000007</v>
      </c>
      <c r="N222">
        <f t="shared" si="28"/>
        <v>407797.32</v>
      </c>
      <c r="O222">
        <f t="shared" si="29"/>
        <v>180331.76000000007</v>
      </c>
      <c r="P222" s="6">
        <f t="shared" si="30"/>
        <v>0.30661935641747223</v>
      </c>
      <c r="Q222">
        <f t="shared" si="31"/>
        <v>5</v>
      </c>
      <c r="R222">
        <f t="shared" si="32"/>
        <v>2016</v>
      </c>
      <c r="S222" t="str">
        <f t="shared" si="33"/>
        <v>January</v>
      </c>
      <c r="T222">
        <f t="shared" si="34"/>
        <v>1</v>
      </c>
      <c r="U222" t="str">
        <f t="shared" si="35"/>
        <v>Medium Profit</v>
      </c>
    </row>
    <row r="223" spans="1:21" x14ac:dyDescent="0.35">
      <c r="A223" s="5" t="s">
        <v>37</v>
      </c>
      <c r="B223" s="5" t="s">
        <v>302</v>
      </c>
      <c r="C223" t="s">
        <v>39</v>
      </c>
      <c r="D223" t="s">
        <v>397</v>
      </c>
      <c r="E223" t="s">
        <v>23</v>
      </c>
      <c r="F223" t="s">
        <v>32</v>
      </c>
      <c r="G223" s="3">
        <v>42664</v>
      </c>
      <c r="H223">
        <v>252557933</v>
      </c>
      <c r="I223" s="3">
        <v>42678</v>
      </c>
      <c r="J223">
        <v>6360</v>
      </c>
      <c r="K223">
        <v>9.33</v>
      </c>
      <c r="L223">
        <v>6.92</v>
      </c>
      <c r="M223">
        <f t="shared" si="27"/>
        <v>59338.8</v>
      </c>
      <c r="N223">
        <f t="shared" si="28"/>
        <v>44011.199999999997</v>
      </c>
      <c r="O223">
        <f t="shared" si="29"/>
        <v>15327.600000000006</v>
      </c>
      <c r="P223" s="6">
        <f t="shared" si="30"/>
        <v>0.25830653804930342</v>
      </c>
      <c r="Q223">
        <f t="shared" si="31"/>
        <v>14</v>
      </c>
      <c r="R223">
        <f t="shared" si="32"/>
        <v>2016</v>
      </c>
      <c r="S223" t="str">
        <f t="shared" si="33"/>
        <v>October</v>
      </c>
      <c r="T223">
        <f t="shared" si="34"/>
        <v>10</v>
      </c>
      <c r="U223" t="str">
        <f t="shared" si="35"/>
        <v>Low Profit</v>
      </c>
    </row>
    <row r="224" spans="1:21" x14ac:dyDescent="0.35">
      <c r="A224" s="5" t="s">
        <v>19</v>
      </c>
      <c r="B224" s="5" t="s">
        <v>20</v>
      </c>
      <c r="C224" t="s">
        <v>30</v>
      </c>
      <c r="D224" t="s">
        <v>398</v>
      </c>
      <c r="E224" t="s">
        <v>23</v>
      </c>
      <c r="F224" t="s">
        <v>24</v>
      </c>
      <c r="G224" s="3">
        <v>42714</v>
      </c>
      <c r="H224">
        <v>635122907</v>
      </c>
      <c r="I224" s="3">
        <v>42717</v>
      </c>
      <c r="J224">
        <v>5837</v>
      </c>
      <c r="K224">
        <v>255.28</v>
      </c>
      <c r="L224">
        <v>159.41999999999999</v>
      </c>
      <c r="M224">
        <f t="shared" si="27"/>
        <v>1490069.36</v>
      </c>
      <c r="N224">
        <f t="shared" si="28"/>
        <v>930534.53999999992</v>
      </c>
      <c r="O224">
        <f t="shared" si="29"/>
        <v>559534.82000000018</v>
      </c>
      <c r="P224" s="6">
        <f t="shared" si="30"/>
        <v>0.37550924475086189</v>
      </c>
      <c r="Q224">
        <f t="shared" si="31"/>
        <v>3</v>
      </c>
      <c r="R224">
        <f t="shared" si="32"/>
        <v>2016</v>
      </c>
      <c r="S224" t="str">
        <f t="shared" si="33"/>
        <v>December</v>
      </c>
      <c r="T224">
        <f t="shared" si="34"/>
        <v>12</v>
      </c>
      <c r="U224" t="str">
        <f t="shared" si="35"/>
        <v>High Profit</v>
      </c>
    </row>
    <row r="225" spans="1:21" x14ac:dyDescent="0.35">
      <c r="A225" s="5" t="s">
        <v>53</v>
      </c>
      <c r="B225" s="5" t="s">
        <v>218</v>
      </c>
      <c r="C225" t="s">
        <v>27</v>
      </c>
      <c r="D225" t="s">
        <v>399</v>
      </c>
      <c r="E225" t="s">
        <v>29</v>
      </c>
      <c r="F225" t="s">
        <v>32</v>
      </c>
      <c r="G225" s="3">
        <v>40767</v>
      </c>
      <c r="H225">
        <v>505244338</v>
      </c>
      <c r="I225" s="3">
        <v>40805</v>
      </c>
      <c r="J225">
        <v>1882</v>
      </c>
      <c r="K225">
        <v>154.06</v>
      </c>
      <c r="L225">
        <v>90.93</v>
      </c>
      <c r="M225">
        <f t="shared" si="27"/>
        <v>289940.92</v>
      </c>
      <c r="N225">
        <f t="shared" si="28"/>
        <v>171130.26</v>
      </c>
      <c r="O225">
        <f t="shared" si="29"/>
        <v>118810.65999999997</v>
      </c>
      <c r="P225" s="6">
        <f t="shared" si="30"/>
        <v>0.40977541217707381</v>
      </c>
      <c r="Q225">
        <f t="shared" si="31"/>
        <v>38</v>
      </c>
      <c r="R225">
        <f t="shared" si="32"/>
        <v>2011</v>
      </c>
      <c r="S225" t="str">
        <f t="shared" si="33"/>
        <v>August</v>
      </c>
      <c r="T225">
        <f t="shared" si="34"/>
        <v>8</v>
      </c>
      <c r="U225" t="str">
        <f t="shared" si="35"/>
        <v>Medium Profit</v>
      </c>
    </row>
    <row r="226" spans="1:21" x14ac:dyDescent="0.35">
      <c r="A226" s="5" t="s">
        <v>42</v>
      </c>
      <c r="B226" s="5" t="s">
        <v>400</v>
      </c>
      <c r="C226" t="s">
        <v>48</v>
      </c>
      <c r="D226" t="s">
        <v>401</v>
      </c>
      <c r="E226" t="s">
        <v>23</v>
      </c>
      <c r="F226" t="s">
        <v>41</v>
      </c>
      <c r="G226" s="3">
        <v>40991</v>
      </c>
      <c r="H226">
        <v>745783555</v>
      </c>
      <c r="I226" s="3">
        <v>41038</v>
      </c>
      <c r="J226">
        <v>2782</v>
      </c>
      <c r="K226">
        <v>109.28</v>
      </c>
      <c r="L226">
        <v>35.840000000000003</v>
      </c>
      <c r="M226">
        <f t="shared" si="27"/>
        <v>304016.96000000002</v>
      </c>
      <c r="N226">
        <f t="shared" si="28"/>
        <v>99706.880000000005</v>
      </c>
      <c r="O226">
        <f t="shared" si="29"/>
        <v>204310.08000000002</v>
      </c>
      <c r="P226" s="6">
        <f t="shared" si="30"/>
        <v>0.67203513909224011</v>
      </c>
      <c r="Q226">
        <f t="shared" si="31"/>
        <v>47</v>
      </c>
      <c r="R226">
        <f t="shared" si="32"/>
        <v>2012</v>
      </c>
      <c r="S226" t="str">
        <f t="shared" si="33"/>
        <v>March</v>
      </c>
      <c r="T226">
        <f t="shared" si="34"/>
        <v>3</v>
      </c>
      <c r="U226" t="str">
        <f t="shared" si="35"/>
        <v>Medium Profit</v>
      </c>
    </row>
    <row r="227" spans="1:21" x14ac:dyDescent="0.35">
      <c r="A227" s="5" t="s">
        <v>53</v>
      </c>
      <c r="B227" s="5" t="s">
        <v>402</v>
      </c>
      <c r="C227" t="s">
        <v>58</v>
      </c>
      <c r="D227" t="s">
        <v>403</v>
      </c>
      <c r="E227" t="s">
        <v>23</v>
      </c>
      <c r="F227" t="s">
        <v>24</v>
      </c>
      <c r="G227" s="3">
        <v>41026</v>
      </c>
      <c r="H227">
        <v>509914386</v>
      </c>
      <c r="I227" s="3">
        <v>41071</v>
      </c>
      <c r="J227">
        <v>3853</v>
      </c>
      <c r="K227">
        <v>152.58000000000001</v>
      </c>
      <c r="L227">
        <v>97.44</v>
      </c>
      <c r="M227">
        <f t="shared" si="27"/>
        <v>587890.74</v>
      </c>
      <c r="N227">
        <f t="shared" si="28"/>
        <v>375436.32</v>
      </c>
      <c r="O227">
        <f t="shared" si="29"/>
        <v>212454.41999999998</v>
      </c>
      <c r="P227" s="6">
        <f t="shared" si="30"/>
        <v>0.36138419189933146</v>
      </c>
      <c r="Q227">
        <f t="shared" si="31"/>
        <v>45</v>
      </c>
      <c r="R227">
        <f t="shared" si="32"/>
        <v>2012</v>
      </c>
      <c r="S227" t="str">
        <f t="shared" si="33"/>
        <v>April</v>
      </c>
      <c r="T227">
        <f t="shared" si="34"/>
        <v>4</v>
      </c>
      <c r="U227" t="str">
        <f t="shared" si="35"/>
        <v>Medium Profit</v>
      </c>
    </row>
    <row r="228" spans="1:21" x14ac:dyDescent="0.35">
      <c r="A228" s="5" t="s">
        <v>19</v>
      </c>
      <c r="B228" s="5" t="s">
        <v>221</v>
      </c>
      <c r="C228" t="s">
        <v>60</v>
      </c>
      <c r="D228" t="s">
        <v>404</v>
      </c>
      <c r="E228" t="s">
        <v>29</v>
      </c>
      <c r="F228" t="s">
        <v>24</v>
      </c>
      <c r="G228" s="3">
        <v>41668</v>
      </c>
      <c r="H228">
        <v>371123158</v>
      </c>
      <c r="I228" s="3">
        <v>41679</v>
      </c>
      <c r="J228">
        <v>2445</v>
      </c>
      <c r="K228">
        <v>668.27</v>
      </c>
      <c r="L228">
        <v>502.54</v>
      </c>
      <c r="M228">
        <f t="shared" si="27"/>
        <v>1633920.15</v>
      </c>
      <c r="N228">
        <f t="shared" si="28"/>
        <v>1228710.3</v>
      </c>
      <c r="O228">
        <f t="shared" si="29"/>
        <v>405209.84999999986</v>
      </c>
      <c r="P228" s="6">
        <f t="shared" si="30"/>
        <v>0.24799856345489091</v>
      </c>
      <c r="Q228">
        <f t="shared" si="31"/>
        <v>11</v>
      </c>
      <c r="R228">
        <f t="shared" si="32"/>
        <v>2014</v>
      </c>
      <c r="S228" t="str">
        <f t="shared" si="33"/>
        <v>January</v>
      </c>
      <c r="T228">
        <f t="shared" si="34"/>
        <v>1</v>
      </c>
      <c r="U228" t="str">
        <f t="shared" si="35"/>
        <v>Medium Profit</v>
      </c>
    </row>
    <row r="229" spans="1:21" x14ac:dyDescent="0.35">
      <c r="A229" s="5" t="s">
        <v>42</v>
      </c>
      <c r="B229" s="5" t="s">
        <v>405</v>
      </c>
      <c r="C229" t="s">
        <v>60</v>
      </c>
      <c r="D229" t="s">
        <v>406</v>
      </c>
      <c r="E229" t="s">
        <v>29</v>
      </c>
      <c r="F229" t="s">
        <v>41</v>
      </c>
      <c r="G229" s="3">
        <v>42717</v>
      </c>
      <c r="H229">
        <v>973208701</v>
      </c>
      <c r="I229" s="3">
        <v>42732</v>
      </c>
      <c r="J229">
        <v>2936</v>
      </c>
      <c r="K229">
        <v>668.27</v>
      </c>
      <c r="L229">
        <v>502.54</v>
      </c>
      <c r="M229">
        <f t="shared" si="27"/>
        <v>1962040.72</v>
      </c>
      <c r="N229">
        <f t="shared" si="28"/>
        <v>1475457.44</v>
      </c>
      <c r="O229">
        <f t="shared" si="29"/>
        <v>486583.28</v>
      </c>
      <c r="P229" s="6">
        <f t="shared" si="30"/>
        <v>0.24799856345489099</v>
      </c>
      <c r="Q229">
        <f t="shared" si="31"/>
        <v>15</v>
      </c>
      <c r="R229">
        <f t="shared" si="32"/>
        <v>2016</v>
      </c>
      <c r="S229" t="str">
        <f t="shared" si="33"/>
        <v>December</v>
      </c>
      <c r="T229">
        <f t="shared" si="34"/>
        <v>12</v>
      </c>
      <c r="U229" t="str">
        <f t="shared" si="35"/>
        <v>Medium Profit</v>
      </c>
    </row>
    <row r="230" spans="1:21" x14ac:dyDescent="0.35">
      <c r="A230" s="5" t="s">
        <v>33</v>
      </c>
      <c r="B230" s="5" t="s">
        <v>189</v>
      </c>
      <c r="C230" t="s">
        <v>30</v>
      </c>
      <c r="D230" t="s">
        <v>407</v>
      </c>
      <c r="E230" t="s">
        <v>29</v>
      </c>
      <c r="F230" t="s">
        <v>66</v>
      </c>
      <c r="G230" s="3">
        <v>41599</v>
      </c>
      <c r="H230">
        <v>780282342</v>
      </c>
      <c r="I230" s="3">
        <v>41635</v>
      </c>
      <c r="J230">
        <v>1739</v>
      </c>
      <c r="K230">
        <v>255.28</v>
      </c>
      <c r="L230">
        <v>159.41999999999999</v>
      </c>
      <c r="M230">
        <f t="shared" si="27"/>
        <v>443931.92</v>
      </c>
      <c r="N230">
        <f t="shared" si="28"/>
        <v>277231.38</v>
      </c>
      <c r="O230">
        <f t="shared" si="29"/>
        <v>166700.53999999998</v>
      </c>
      <c r="P230" s="6">
        <f t="shared" si="30"/>
        <v>0.37550924475086178</v>
      </c>
      <c r="Q230">
        <f t="shared" si="31"/>
        <v>36</v>
      </c>
      <c r="R230">
        <f t="shared" si="32"/>
        <v>2013</v>
      </c>
      <c r="S230" t="str">
        <f t="shared" si="33"/>
        <v>November</v>
      </c>
      <c r="T230">
        <f t="shared" si="34"/>
        <v>11</v>
      </c>
      <c r="U230" t="str">
        <f t="shared" si="35"/>
        <v>Medium Profit</v>
      </c>
    </row>
    <row r="231" spans="1:21" x14ac:dyDescent="0.35">
      <c r="A231" s="5" t="s">
        <v>42</v>
      </c>
      <c r="B231" s="5" t="s">
        <v>281</v>
      </c>
      <c r="C231" t="s">
        <v>48</v>
      </c>
      <c r="D231" t="s">
        <v>408</v>
      </c>
      <c r="E231" t="s">
        <v>29</v>
      </c>
      <c r="F231" t="s">
        <v>41</v>
      </c>
      <c r="G231" s="3">
        <v>40275</v>
      </c>
      <c r="H231">
        <v>126767909</v>
      </c>
      <c r="I231" s="3">
        <v>40320</v>
      </c>
      <c r="J231">
        <v>2296</v>
      </c>
      <c r="K231">
        <v>109.28</v>
      </c>
      <c r="L231">
        <v>35.840000000000003</v>
      </c>
      <c r="M231">
        <f t="shared" si="27"/>
        <v>250906.88</v>
      </c>
      <c r="N231">
        <f t="shared" si="28"/>
        <v>82288.640000000014</v>
      </c>
      <c r="O231">
        <f t="shared" si="29"/>
        <v>168618.23999999999</v>
      </c>
      <c r="P231" s="6">
        <f t="shared" si="30"/>
        <v>0.67203513909224011</v>
      </c>
      <c r="Q231">
        <f t="shared" si="31"/>
        <v>45</v>
      </c>
      <c r="R231">
        <f t="shared" si="32"/>
        <v>2010</v>
      </c>
      <c r="S231" t="str">
        <f t="shared" si="33"/>
        <v>April</v>
      </c>
      <c r="T231">
        <f t="shared" si="34"/>
        <v>4</v>
      </c>
      <c r="U231" t="str">
        <f t="shared" si="35"/>
        <v>Medium Profit</v>
      </c>
    </row>
    <row r="232" spans="1:21" x14ac:dyDescent="0.35">
      <c r="A232" s="5" t="s">
        <v>19</v>
      </c>
      <c r="B232" s="5" t="s">
        <v>210</v>
      </c>
      <c r="C232" t="s">
        <v>30</v>
      </c>
      <c r="D232" t="s">
        <v>409</v>
      </c>
      <c r="E232" t="s">
        <v>29</v>
      </c>
      <c r="F232" t="s">
        <v>24</v>
      </c>
      <c r="G232" s="3">
        <v>41098</v>
      </c>
      <c r="H232">
        <v>767401731</v>
      </c>
      <c r="I232" s="3">
        <v>41120</v>
      </c>
      <c r="J232">
        <v>80</v>
      </c>
      <c r="K232">
        <v>255.28</v>
      </c>
      <c r="L232">
        <v>159.41999999999999</v>
      </c>
      <c r="M232">
        <f t="shared" si="27"/>
        <v>20422.400000000001</v>
      </c>
      <c r="N232">
        <f t="shared" si="28"/>
        <v>12753.599999999999</v>
      </c>
      <c r="O232">
        <f t="shared" si="29"/>
        <v>7668.8000000000029</v>
      </c>
      <c r="P232" s="6">
        <f t="shared" si="30"/>
        <v>0.37550924475086189</v>
      </c>
      <c r="Q232">
        <f t="shared" si="31"/>
        <v>22</v>
      </c>
      <c r="R232">
        <f t="shared" si="32"/>
        <v>2012</v>
      </c>
      <c r="S232" t="str">
        <f t="shared" si="33"/>
        <v>July</v>
      </c>
      <c r="T232">
        <f t="shared" si="34"/>
        <v>7</v>
      </c>
      <c r="U232" t="str">
        <f t="shared" si="35"/>
        <v>Low Profit</v>
      </c>
    </row>
    <row r="233" spans="1:21" x14ac:dyDescent="0.35">
      <c r="A233" s="5" t="s">
        <v>33</v>
      </c>
      <c r="B233" s="5" t="s">
        <v>237</v>
      </c>
      <c r="C233" t="s">
        <v>83</v>
      </c>
      <c r="D233" t="s">
        <v>410</v>
      </c>
      <c r="E233" t="s">
        <v>29</v>
      </c>
      <c r="F233" t="s">
        <v>66</v>
      </c>
      <c r="G233" s="3">
        <v>42658</v>
      </c>
      <c r="H233">
        <v>927232635</v>
      </c>
      <c r="I233" s="3">
        <v>42698</v>
      </c>
      <c r="J233">
        <v>7597</v>
      </c>
      <c r="K233">
        <v>81.73</v>
      </c>
      <c r="L233">
        <v>56.67</v>
      </c>
      <c r="M233">
        <f t="shared" si="27"/>
        <v>620902.81000000006</v>
      </c>
      <c r="N233">
        <f t="shared" si="28"/>
        <v>430521.99</v>
      </c>
      <c r="O233">
        <f t="shared" si="29"/>
        <v>190380.82000000007</v>
      </c>
      <c r="P233" s="6">
        <f t="shared" si="30"/>
        <v>0.30661935641747223</v>
      </c>
      <c r="Q233">
        <f t="shared" si="31"/>
        <v>40</v>
      </c>
      <c r="R233">
        <f t="shared" si="32"/>
        <v>2016</v>
      </c>
      <c r="S233" t="str">
        <f t="shared" si="33"/>
        <v>October</v>
      </c>
      <c r="T233">
        <f t="shared" si="34"/>
        <v>10</v>
      </c>
      <c r="U233" t="str">
        <f t="shared" si="35"/>
        <v>Medium Profit</v>
      </c>
    </row>
    <row r="234" spans="1:21" x14ac:dyDescent="0.35">
      <c r="A234" s="5" t="s">
        <v>37</v>
      </c>
      <c r="B234" s="5" t="s">
        <v>411</v>
      </c>
      <c r="C234" t="s">
        <v>92</v>
      </c>
      <c r="D234" t="s">
        <v>412</v>
      </c>
      <c r="E234" t="s">
        <v>23</v>
      </c>
      <c r="F234" t="s">
        <v>24</v>
      </c>
      <c r="G234" s="3">
        <v>41170</v>
      </c>
      <c r="H234">
        <v>251621949</v>
      </c>
      <c r="I234" s="3">
        <v>41202</v>
      </c>
      <c r="J234">
        <v>9381</v>
      </c>
      <c r="K234">
        <v>421.89</v>
      </c>
      <c r="L234">
        <v>364.69</v>
      </c>
      <c r="M234">
        <f t="shared" si="27"/>
        <v>3957750.09</v>
      </c>
      <c r="N234">
        <f t="shared" si="28"/>
        <v>3421156.89</v>
      </c>
      <c r="O234">
        <f t="shared" si="29"/>
        <v>536593.19999999972</v>
      </c>
      <c r="P234" s="6">
        <f t="shared" si="30"/>
        <v>0.13558036455000111</v>
      </c>
      <c r="Q234">
        <f t="shared" si="31"/>
        <v>32</v>
      </c>
      <c r="R234">
        <f t="shared" si="32"/>
        <v>2012</v>
      </c>
      <c r="S234" t="str">
        <f t="shared" si="33"/>
        <v>September</v>
      </c>
      <c r="T234">
        <f t="shared" si="34"/>
        <v>9</v>
      </c>
      <c r="U234" t="str">
        <f t="shared" si="35"/>
        <v>High Profit</v>
      </c>
    </row>
    <row r="235" spans="1:21" x14ac:dyDescent="0.35">
      <c r="A235" s="5" t="s">
        <v>50</v>
      </c>
      <c r="B235" s="5" t="s">
        <v>195</v>
      </c>
      <c r="C235" t="s">
        <v>69</v>
      </c>
      <c r="D235" t="s">
        <v>413</v>
      </c>
      <c r="E235" t="s">
        <v>23</v>
      </c>
      <c r="F235" t="s">
        <v>41</v>
      </c>
      <c r="G235" s="3">
        <v>42918</v>
      </c>
      <c r="H235">
        <v>256243503</v>
      </c>
      <c r="I235" s="3">
        <v>42939</v>
      </c>
      <c r="J235">
        <v>7002</v>
      </c>
      <c r="K235">
        <v>651.21</v>
      </c>
      <c r="L235">
        <v>524.96</v>
      </c>
      <c r="M235">
        <f t="shared" si="27"/>
        <v>4559772.42</v>
      </c>
      <c r="N235">
        <f t="shared" si="28"/>
        <v>3675769.9200000004</v>
      </c>
      <c r="O235">
        <f t="shared" si="29"/>
        <v>884002.49999999953</v>
      </c>
      <c r="P235" s="6">
        <f t="shared" si="30"/>
        <v>0.19386987300563557</v>
      </c>
      <c r="Q235">
        <f t="shared" si="31"/>
        <v>21</v>
      </c>
      <c r="R235">
        <f t="shared" si="32"/>
        <v>2017</v>
      </c>
      <c r="S235" t="str">
        <f t="shared" si="33"/>
        <v>July</v>
      </c>
      <c r="T235">
        <f t="shared" si="34"/>
        <v>7</v>
      </c>
      <c r="U235" t="str">
        <f t="shared" si="35"/>
        <v>High Profit</v>
      </c>
    </row>
    <row r="236" spans="1:21" x14ac:dyDescent="0.35">
      <c r="A236" s="5" t="s">
        <v>42</v>
      </c>
      <c r="B236" s="5" t="s">
        <v>414</v>
      </c>
      <c r="C236" t="s">
        <v>21</v>
      </c>
      <c r="D236" t="s">
        <v>415</v>
      </c>
      <c r="E236" t="s">
        <v>23</v>
      </c>
      <c r="F236" t="s">
        <v>32</v>
      </c>
      <c r="G236" s="3">
        <v>40745</v>
      </c>
      <c r="H236">
        <v>277083623</v>
      </c>
      <c r="I236" s="3">
        <v>40788</v>
      </c>
      <c r="J236">
        <v>4056</v>
      </c>
      <c r="K236">
        <v>437.2</v>
      </c>
      <c r="L236">
        <v>263.33</v>
      </c>
      <c r="M236">
        <f t="shared" si="27"/>
        <v>1773283.2</v>
      </c>
      <c r="N236">
        <f t="shared" si="28"/>
        <v>1068066.48</v>
      </c>
      <c r="O236">
        <f t="shared" si="29"/>
        <v>705216.72</v>
      </c>
      <c r="P236" s="6">
        <f t="shared" si="30"/>
        <v>0.39768984446477584</v>
      </c>
      <c r="Q236">
        <f t="shared" si="31"/>
        <v>43</v>
      </c>
      <c r="R236">
        <f t="shared" si="32"/>
        <v>2011</v>
      </c>
      <c r="S236" t="str">
        <f t="shared" si="33"/>
        <v>July</v>
      </c>
      <c r="T236">
        <f t="shared" si="34"/>
        <v>7</v>
      </c>
      <c r="U236" t="str">
        <f t="shared" si="35"/>
        <v>High Profit</v>
      </c>
    </row>
    <row r="237" spans="1:21" x14ac:dyDescent="0.35">
      <c r="A237" s="5" t="s">
        <v>37</v>
      </c>
      <c r="B237" s="5" t="s">
        <v>416</v>
      </c>
      <c r="C237" t="s">
        <v>27</v>
      </c>
      <c r="D237" t="s">
        <v>417</v>
      </c>
      <c r="E237" t="s">
        <v>23</v>
      </c>
      <c r="F237" t="s">
        <v>66</v>
      </c>
      <c r="G237" s="3">
        <v>40330</v>
      </c>
      <c r="H237">
        <v>620441138</v>
      </c>
      <c r="I237" s="3">
        <v>40351</v>
      </c>
      <c r="J237">
        <v>1175</v>
      </c>
      <c r="K237">
        <v>154.06</v>
      </c>
      <c r="L237">
        <v>90.93</v>
      </c>
      <c r="M237">
        <f t="shared" si="27"/>
        <v>181020.5</v>
      </c>
      <c r="N237">
        <f t="shared" si="28"/>
        <v>106842.75000000001</v>
      </c>
      <c r="O237">
        <f t="shared" si="29"/>
        <v>74177.749999999985</v>
      </c>
      <c r="P237" s="6">
        <f t="shared" si="30"/>
        <v>0.40977541217707381</v>
      </c>
      <c r="Q237">
        <f t="shared" si="31"/>
        <v>21</v>
      </c>
      <c r="R237">
        <f t="shared" si="32"/>
        <v>2010</v>
      </c>
      <c r="S237" t="str">
        <f t="shared" si="33"/>
        <v>June</v>
      </c>
      <c r="T237">
        <f t="shared" si="34"/>
        <v>6</v>
      </c>
      <c r="U237" t="str">
        <f t="shared" si="35"/>
        <v>Low Profit</v>
      </c>
    </row>
    <row r="238" spans="1:21" x14ac:dyDescent="0.35">
      <c r="A238" s="5" t="s">
        <v>33</v>
      </c>
      <c r="B238" s="5" t="s">
        <v>189</v>
      </c>
      <c r="C238" t="s">
        <v>69</v>
      </c>
      <c r="D238" t="s">
        <v>418</v>
      </c>
      <c r="E238" t="s">
        <v>23</v>
      </c>
      <c r="F238" t="s">
        <v>24</v>
      </c>
      <c r="G238" s="3">
        <v>42211</v>
      </c>
      <c r="H238">
        <v>312927377</v>
      </c>
      <c r="I238" s="3">
        <v>42254</v>
      </c>
      <c r="J238">
        <v>1020</v>
      </c>
      <c r="K238">
        <v>651.21</v>
      </c>
      <c r="L238">
        <v>524.96</v>
      </c>
      <c r="M238">
        <f t="shared" si="27"/>
        <v>664234.20000000007</v>
      </c>
      <c r="N238">
        <f t="shared" si="28"/>
        <v>535459.20000000007</v>
      </c>
      <c r="O238">
        <f t="shared" si="29"/>
        <v>128775</v>
      </c>
      <c r="P238" s="6">
        <f t="shared" si="30"/>
        <v>0.19386987300563563</v>
      </c>
      <c r="Q238">
        <f t="shared" si="31"/>
        <v>43</v>
      </c>
      <c r="R238">
        <f t="shared" si="32"/>
        <v>2015</v>
      </c>
      <c r="S238" t="str">
        <f t="shared" si="33"/>
        <v>July</v>
      </c>
      <c r="T238">
        <f t="shared" si="34"/>
        <v>7</v>
      </c>
      <c r="U238" t="str">
        <f t="shared" si="35"/>
        <v>Medium Profit</v>
      </c>
    </row>
    <row r="239" spans="1:21" x14ac:dyDescent="0.35">
      <c r="A239" s="5" t="s">
        <v>37</v>
      </c>
      <c r="B239" s="5" t="s">
        <v>260</v>
      </c>
      <c r="C239" t="s">
        <v>30</v>
      </c>
      <c r="D239" t="s">
        <v>419</v>
      </c>
      <c r="E239" t="s">
        <v>23</v>
      </c>
      <c r="F239" t="s">
        <v>66</v>
      </c>
      <c r="G239" s="3">
        <v>40396</v>
      </c>
      <c r="H239">
        <v>251466166</v>
      </c>
      <c r="I239" s="3">
        <v>40429</v>
      </c>
      <c r="J239">
        <v>3282</v>
      </c>
      <c r="K239">
        <v>255.28</v>
      </c>
      <c r="L239">
        <v>159.41999999999999</v>
      </c>
      <c r="M239">
        <f t="shared" si="27"/>
        <v>837828.96</v>
      </c>
      <c r="N239">
        <f t="shared" si="28"/>
        <v>523216.43999999994</v>
      </c>
      <c r="O239">
        <f t="shared" si="29"/>
        <v>314612.52</v>
      </c>
      <c r="P239" s="6">
        <f t="shared" si="30"/>
        <v>0.37550924475086184</v>
      </c>
      <c r="Q239">
        <f t="shared" si="31"/>
        <v>33</v>
      </c>
      <c r="R239">
        <f t="shared" si="32"/>
        <v>2010</v>
      </c>
      <c r="S239" t="str">
        <f t="shared" si="33"/>
        <v>August</v>
      </c>
      <c r="T239">
        <f t="shared" si="34"/>
        <v>8</v>
      </c>
      <c r="U239" t="str">
        <f t="shared" si="35"/>
        <v>Medium Profit</v>
      </c>
    </row>
    <row r="240" spans="1:21" x14ac:dyDescent="0.35">
      <c r="A240" s="5" t="s">
        <v>50</v>
      </c>
      <c r="B240" s="5" t="s">
        <v>420</v>
      </c>
      <c r="C240" t="s">
        <v>69</v>
      </c>
      <c r="D240" t="s">
        <v>421</v>
      </c>
      <c r="E240" t="s">
        <v>29</v>
      </c>
      <c r="F240" t="s">
        <v>41</v>
      </c>
      <c r="G240" s="3">
        <v>40349</v>
      </c>
      <c r="H240">
        <v>953293836</v>
      </c>
      <c r="I240" s="3">
        <v>40381</v>
      </c>
      <c r="J240">
        <v>9685</v>
      </c>
      <c r="K240">
        <v>651.21</v>
      </c>
      <c r="L240">
        <v>524.96</v>
      </c>
      <c r="M240">
        <f t="shared" si="27"/>
        <v>6306968.8500000006</v>
      </c>
      <c r="N240">
        <f t="shared" si="28"/>
        <v>5084237.6000000006</v>
      </c>
      <c r="O240">
        <f t="shared" si="29"/>
        <v>1222731.25</v>
      </c>
      <c r="P240" s="6">
        <f t="shared" si="30"/>
        <v>0.19386987300563566</v>
      </c>
      <c r="Q240">
        <f t="shared" si="31"/>
        <v>32</v>
      </c>
      <c r="R240">
        <f t="shared" si="32"/>
        <v>2010</v>
      </c>
      <c r="S240" t="str">
        <f t="shared" si="33"/>
        <v>June</v>
      </c>
      <c r="T240">
        <f t="shared" si="34"/>
        <v>6</v>
      </c>
      <c r="U240" t="str">
        <f t="shared" si="35"/>
        <v>High Profit</v>
      </c>
    </row>
    <row r="241" spans="1:21" x14ac:dyDescent="0.35">
      <c r="A241" s="5" t="s">
        <v>42</v>
      </c>
      <c r="B241" s="5" t="s">
        <v>159</v>
      </c>
      <c r="C241" t="s">
        <v>35</v>
      </c>
      <c r="D241" t="s">
        <v>422</v>
      </c>
      <c r="E241" t="s">
        <v>29</v>
      </c>
      <c r="F241" t="s">
        <v>32</v>
      </c>
      <c r="G241" s="3">
        <v>41007</v>
      </c>
      <c r="H241">
        <v>305959212</v>
      </c>
      <c r="I241" s="3">
        <v>41022</v>
      </c>
      <c r="J241">
        <v>8985</v>
      </c>
      <c r="K241">
        <v>205.7</v>
      </c>
      <c r="L241">
        <v>117.11</v>
      </c>
      <c r="M241">
        <f t="shared" si="27"/>
        <v>1848214.5</v>
      </c>
      <c r="N241">
        <f t="shared" si="28"/>
        <v>1052233.3500000001</v>
      </c>
      <c r="O241">
        <f t="shared" si="29"/>
        <v>795981.14999999991</v>
      </c>
      <c r="P241" s="6">
        <f t="shared" si="30"/>
        <v>0.43067574137092851</v>
      </c>
      <c r="Q241">
        <f t="shared" si="31"/>
        <v>15</v>
      </c>
      <c r="R241">
        <f t="shared" si="32"/>
        <v>2012</v>
      </c>
      <c r="S241" t="str">
        <f t="shared" si="33"/>
        <v>April</v>
      </c>
      <c r="T241">
        <f t="shared" si="34"/>
        <v>4</v>
      </c>
      <c r="U241" t="str">
        <f t="shared" si="35"/>
        <v>High Profit</v>
      </c>
    </row>
    <row r="242" spans="1:21" x14ac:dyDescent="0.35">
      <c r="A242" s="5" t="s">
        <v>42</v>
      </c>
      <c r="B242" s="5" t="s">
        <v>198</v>
      </c>
      <c r="C242" t="s">
        <v>35</v>
      </c>
      <c r="D242" t="s">
        <v>423</v>
      </c>
      <c r="E242" t="s">
        <v>29</v>
      </c>
      <c r="F242" t="s">
        <v>66</v>
      </c>
      <c r="G242" s="3">
        <v>41697</v>
      </c>
      <c r="H242">
        <v>317323625</v>
      </c>
      <c r="I242" s="3">
        <v>41722</v>
      </c>
      <c r="J242">
        <v>1967</v>
      </c>
      <c r="K242">
        <v>205.7</v>
      </c>
      <c r="L242">
        <v>117.11</v>
      </c>
      <c r="M242">
        <f t="shared" si="27"/>
        <v>404611.89999999997</v>
      </c>
      <c r="N242">
        <f t="shared" si="28"/>
        <v>230355.37</v>
      </c>
      <c r="O242">
        <f t="shared" si="29"/>
        <v>174256.52999999997</v>
      </c>
      <c r="P242" s="6">
        <f t="shared" si="30"/>
        <v>0.43067574137092851</v>
      </c>
      <c r="Q242">
        <f t="shared" si="31"/>
        <v>25</v>
      </c>
      <c r="R242">
        <f t="shared" si="32"/>
        <v>2014</v>
      </c>
      <c r="S242" t="str">
        <f t="shared" si="33"/>
        <v>February</v>
      </c>
      <c r="T242">
        <f t="shared" si="34"/>
        <v>2</v>
      </c>
      <c r="U242" t="str">
        <f t="shared" si="35"/>
        <v>Medium Profit</v>
      </c>
    </row>
    <row r="243" spans="1:21" x14ac:dyDescent="0.35">
      <c r="A243" s="5" t="s">
        <v>42</v>
      </c>
      <c r="B243" s="5" t="s">
        <v>424</v>
      </c>
      <c r="C243" t="s">
        <v>60</v>
      </c>
      <c r="D243" t="s">
        <v>425</v>
      </c>
      <c r="E243" t="s">
        <v>23</v>
      </c>
      <c r="F243" t="s">
        <v>66</v>
      </c>
      <c r="G243" s="3">
        <v>40749</v>
      </c>
      <c r="H243">
        <v>365560901</v>
      </c>
      <c r="I243" s="3">
        <v>40787</v>
      </c>
      <c r="J243">
        <v>6449</v>
      </c>
      <c r="K243">
        <v>668.27</v>
      </c>
      <c r="L243">
        <v>502.54</v>
      </c>
      <c r="M243">
        <f t="shared" si="27"/>
        <v>4309673.2299999995</v>
      </c>
      <c r="N243">
        <f t="shared" si="28"/>
        <v>3240880.46</v>
      </c>
      <c r="O243">
        <f t="shared" si="29"/>
        <v>1068792.7699999996</v>
      </c>
      <c r="P243" s="6">
        <f t="shared" si="30"/>
        <v>0.24799856345489091</v>
      </c>
      <c r="Q243">
        <f t="shared" si="31"/>
        <v>38</v>
      </c>
      <c r="R243">
        <f t="shared" si="32"/>
        <v>2011</v>
      </c>
      <c r="S243" t="str">
        <f t="shared" si="33"/>
        <v>July</v>
      </c>
      <c r="T243">
        <f t="shared" si="34"/>
        <v>7</v>
      </c>
      <c r="U243" t="str">
        <f t="shared" si="35"/>
        <v>High Profit</v>
      </c>
    </row>
    <row r="244" spans="1:21" x14ac:dyDescent="0.35">
      <c r="A244" s="5" t="s">
        <v>37</v>
      </c>
      <c r="B244" s="5" t="s">
        <v>416</v>
      </c>
      <c r="C244" t="s">
        <v>30</v>
      </c>
      <c r="D244" t="s">
        <v>426</v>
      </c>
      <c r="E244" t="s">
        <v>29</v>
      </c>
      <c r="F244" t="s">
        <v>24</v>
      </c>
      <c r="G244" s="3">
        <v>42418</v>
      </c>
      <c r="H244">
        <v>349157369</v>
      </c>
      <c r="I244" s="3">
        <v>42465</v>
      </c>
      <c r="J244">
        <v>2279</v>
      </c>
      <c r="K244">
        <v>255.28</v>
      </c>
      <c r="L244">
        <v>159.41999999999999</v>
      </c>
      <c r="M244">
        <f t="shared" si="27"/>
        <v>581783.12</v>
      </c>
      <c r="N244">
        <f t="shared" si="28"/>
        <v>363318.18</v>
      </c>
      <c r="O244">
        <f t="shared" si="29"/>
        <v>218464.94</v>
      </c>
      <c r="P244" s="6">
        <f t="shared" si="30"/>
        <v>0.37550924475086178</v>
      </c>
      <c r="Q244">
        <f t="shared" si="31"/>
        <v>47</v>
      </c>
      <c r="R244">
        <f t="shared" si="32"/>
        <v>2016</v>
      </c>
      <c r="S244" t="str">
        <f t="shared" si="33"/>
        <v>February</v>
      </c>
      <c r="T244">
        <f t="shared" si="34"/>
        <v>2</v>
      </c>
      <c r="U244" t="str">
        <f t="shared" si="35"/>
        <v>Medium Profit</v>
      </c>
    </row>
    <row r="245" spans="1:21" x14ac:dyDescent="0.35">
      <c r="A245" s="5" t="s">
        <v>19</v>
      </c>
      <c r="B245" s="5" t="s">
        <v>234</v>
      </c>
      <c r="C245" t="s">
        <v>30</v>
      </c>
      <c r="D245" t="s">
        <v>427</v>
      </c>
      <c r="E245" t="s">
        <v>29</v>
      </c>
      <c r="F245" t="s">
        <v>66</v>
      </c>
      <c r="G245" s="3">
        <v>41663</v>
      </c>
      <c r="H245">
        <v>236911857</v>
      </c>
      <c r="I245" s="3">
        <v>41695</v>
      </c>
      <c r="J245">
        <v>6338</v>
      </c>
      <c r="K245">
        <v>255.28</v>
      </c>
      <c r="L245">
        <v>159.41999999999999</v>
      </c>
      <c r="M245">
        <f t="shared" si="27"/>
        <v>1617964.64</v>
      </c>
      <c r="N245">
        <f t="shared" si="28"/>
        <v>1010403.96</v>
      </c>
      <c r="O245">
        <f t="shared" si="29"/>
        <v>607560.67999999993</v>
      </c>
      <c r="P245" s="6">
        <f t="shared" si="30"/>
        <v>0.37550924475086178</v>
      </c>
      <c r="Q245">
        <f t="shared" si="31"/>
        <v>32</v>
      </c>
      <c r="R245">
        <f t="shared" si="32"/>
        <v>2014</v>
      </c>
      <c r="S245" t="str">
        <f t="shared" si="33"/>
        <v>January</v>
      </c>
      <c r="T245">
        <f t="shared" si="34"/>
        <v>1</v>
      </c>
      <c r="U245" t="str">
        <f t="shared" si="35"/>
        <v>High Profit</v>
      </c>
    </row>
    <row r="246" spans="1:21" x14ac:dyDescent="0.35">
      <c r="A246" s="5" t="s">
        <v>53</v>
      </c>
      <c r="B246" s="5" t="s">
        <v>340</v>
      </c>
      <c r="C246" t="s">
        <v>83</v>
      </c>
      <c r="D246" t="s">
        <v>428</v>
      </c>
      <c r="E246" t="s">
        <v>23</v>
      </c>
      <c r="F246" t="s">
        <v>41</v>
      </c>
      <c r="G246" s="3">
        <v>42134</v>
      </c>
      <c r="H246">
        <v>517935693</v>
      </c>
      <c r="I246" s="3">
        <v>42171</v>
      </c>
      <c r="J246">
        <v>7536</v>
      </c>
      <c r="K246">
        <v>81.73</v>
      </c>
      <c r="L246">
        <v>56.67</v>
      </c>
      <c r="M246">
        <f t="shared" si="27"/>
        <v>615917.28</v>
      </c>
      <c r="N246">
        <f t="shared" si="28"/>
        <v>427065.12</v>
      </c>
      <c r="O246">
        <f t="shared" si="29"/>
        <v>188852.16000000003</v>
      </c>
      <c r="P246" s="6">
        <f t="shared" si="30"/>
        <v>0.30661935641747218</v>
      </c>
      <c r="Q246">
        <f t="shared" si="31"/>
        <v>37</v>
      </c>
      <c r="R246">
        <f t="shared" si="32"/>
        <v>2015</v>
      </c>
      <c r="S246" t="str">
        <f t="shared" si="33"/>
        <v>May</v>
      </c>
      <c r="T246">
        <f t="shared" si="34"/>
        <v>5</v>
      </c>
      <c r="U246" t="str">
        <f t="shared" si="35"/>
        <v>Medium Profit</v>
      </c>
    </row>
    <row r="247" spans="1:21" x14ac:dyDescent="0.35">
      <c r="A247" s="5" t="s">
        <v>37</v>
      </c>
      <c r="B247" s="5" t="s">
        <v>429</v>
      </c>
      <c r="C247" t="s">
        <v>48</v>
      </c>
      <c r="D247" t="s">
        <v>430</v>
      </c>
      <c r="E247" t="s">
        <v>23</v>
      </c>
      <c r="F247" t="s">
        <v>32</v>
      </c>
      <c r="G247" s="3">
        <v>40952</v>
      </c>
      <c r="H247">
        <v>851652705</v>
      </c>
      <c r="I247" s="3">
        <v>40995</v>
      </c>
      <c r="J247">
        <v>1816</v>
      </c>
      <c r="K247">
        <v>109.28</v>
      </c>
      <c r="L247">
        <v>35.840000000000003</v>
      </c>
      <c r="M247">
        <f t="shared" si="27"/>
        <v>198452.48000000001</v>
      </c>
      <c r="N247">
        <f t="shared" si="28"/>
        <v>65085.44000000001</v>
      </c>
      <c r="O247">
        <f t="shared" si="29"/>
        <v>133367.04000000001</v>
      </c>
      <c r="P247" s="6">
        <f t="shared" si="30"/>
        <v>0.67203513909224011</v>
      </c>
      <c r="Q247">
        <f t="shared" si="31"/>
        <v>43</v>
      </c>
      <c r="R247">
        <f t="shared" si="32"/>
        <v>2012</v>
      </c>
      <c r="S247" t="str">
        <f t="shared" si="33"/>
        <v>February</v>
      </c>
      <c r="T247">
        <f t="shared" si="34"/>
        <v>2</v>
      </c>
      <c r="U247" t="str">
        <f t="shared" si="35"/>
        <v>Medium Profit</v>
      </c>
    </row>
    <row r="248" spans="1:21" x14ac:dyDescent="0.35">
      <c r="A248" s="5" t="s">
        <v>37</v>
      </c>
      <c r="B248" s="5" t="s">
        <v>105</v>
      </c>
      <c r="C248" t="s">
        <v>35</v>
      </c>
      <c r="D248" t="s">
        <v>431</v>
      </c>
      <c r="E248" t="s">
        <v>23</v>
      </c>
      <c r="F248" t="s">
        <v>24</v>
      </c>
      <c r="G248" s="3">
        <v>41159</v>
      </c>
      <c r="H248">
        <v>517799222</v>
      </c>
      <c r="I248" s="3">
        <v>41205</v>
      </c>
      <c r="J248">
        <v>7151</v>
      </c>
      <c r="K248">
        <v>205.7</v>
      </c>
      <c r="L248">
        <v>117.11</v>
      </c>
      <c r="M248">
        <f t="shared" si="27"/>
        <v>1470960.7</v>
      </c>
      <c r="N248">
        <f t="shared" si="28"/>
        <v>837453.61</v>
      </c>
      <c r="O248">
        <f t="shared" si="29"/>
        <v>633507.09</v>
      </c>
      <c r="P248" s="6">
        <f t="shared" si="30"/>
        <v>0.43067574137092851</v>
      </c>
      <c r="Q248">
        <f t="shared" si="31"/>
        <v>46</v>
      </c>
      <c r="R248">
        <f t="shared" si="32"/>
        <v>2012</v>
      </c>
      <c r="S248" t="str">
        <f t="shared" si="33"/>
        <v>September</v>
      </c>
      <c r="T248">
        <f t="shared" si="34"/>
        <v>9</v>
      </c>
      <c r="U248" t="str">
        <f t="shared" si="35"/>
        <v>High Profit</v>
      </c>
    </row>
    <row r="249" spans="1:21" x14ac:dyDescent="0.35">
      <c r="A249" s="5" t="s">
        <v>50</v>
      </c>
      <c r="B249" s="5" t="s">
        <v>420</v>
      </c>
      <c r="C249" t="s">
        <v>69</v>
      </c>
      <c r="D249" t="s">
        <v>432</v>
      </c>
      <c r="E249" t="s">
        <v>23</v>
      </c>
      <c r="F249" t="s">
        <v>32</v>
      </c>
      <c r="G249" s="3">
        <v>42039</v>
      </c>
      <c r="H249">
        <v>666424071</v>
      </c>
      <c r="I249" s="3">
        <v>42067</v>
      </c>
      <c r="J249">
        <v>8547</v>
      </c>
      <c r="K249">
        <v>651.21</v>
      </c>
      <c r="L249">
        <v>524.96</v>
      </c>
      <c r="M249">
        <f t="shared" si="27"/>
        <v>5565891.8700000001</v>
      </c>
      <c r="N249">
        <f t="shared" si="28"/>
        <v>4486833.12</v>
      </c>
      <c r="O249">
        <f t="shared" si="29"/>
        <v>1079058.75</v>
      </c>
      <c r="P249" s="6">
        <f t="shared" si="30"/>
        <v>0.19386987300563566</v>
      </c>
      <c r="Q249">
        <f t="shared" si="31"/>
        <v>28</v>
      </c>
      <c r="R249">
        <f t="shared" si="32"/>
        <v>2015</v>
      </c>
      <c r="S249" t="str">
        <f t="shared" si="33"/>
        <v>February</v>
      </c>
      <c r="T249">
        <f t="shared" si="34"/>
        <v>2</v>
      </c>
      <c r="U249" t="str">
        <f t="shared" si="35"/>
        <v>High Profit</v>
      </c>
    </row>
    <row r="250" spans="1:21" x14ac:dyDescent="0.35">
      <c r="A250" s="5" t="s">
        <v>42</v>
      </c>
      <c r="B250" s="5" t="s">
        <v>308</v>
      </c>
      <c r="C250" t="s">
        <v>39</v>
      </c>
      <c r="D250" t="s">
        <v>433</v>
      </c>
      <c r="E250" t="s">
        <v>23</v>
      </c>
      <c r="F250" t="s">
        <v>32</v>
      </c>
      <c r="G250" s="3">
        <v>40498</v>
      </c>
      <c r="H250">
        <v>267888581</v>
      </c>
      <c r="I250" s="3">
        <v>40534</v>
      </c>
      <c r="J250">
        <v>3039</v>
      </c>
      <c r="K250">
        <v>9.33</v>
      </c>
      <c r="L250">
        <v>6.92</v>
      </c>
      <c r="M250">
        <f t="shared" si="27"/>
        <v>28353.87</v>
      </c>
      <c r="N250">
        <f t="shared" si="28"/>
        <v>21029.88</v>
      </c>
      <c r="O250">
        <f t="shared" si="29"/>
        <v>7323.989999999998</v>
      </c>
      <c r="P250" s="6">
        <f t="shared" si="30"/>
        <v>0.25830653804930326</v>
      </c>
      <c r="Q250">
        <f t="shared" si="31"/>
        <v>36</v>
      </c>
      <c r="R250">
        <f t="shared" si="32"/>
        <v>2010</v>
      </c>
      <c r="S250" t="str">
        <f t="shared" si="33"/>
        <v>November</v>
      </c>
      <c r="T250">
        <f t="shared" si="34"/>
        <v>11</v>
      </c>
      <c r="U250" t="str">
        <f t="shared" si="35"/>
        <v>Low Profit</v>
      </c>
    </row>
    <row r="251" spans="1:21" x14ac:dyDescent="0.35">
      <c r="A251" s="5" t="s">
        <v>37</v>
      </c>
      <c r="B251" s="5" t="s">
        <v>343</v>
      </c>
      <c r="C251" t="s">
        <v>27</v>
      </c>
      <c r="D251" t="s">
        <v>434</v>
      </c>
      <c r="E251" t="s">
        <v>29</v>
      </c>
      <c r="F251" t="s">
        <v>66</v>
      </c>
      <c r="G251" s="3">
        <v>40744</v>
      </c>
      <c r="H251">
        <v>162866580</v>
      </c>
      <c r="I251" s="3">
        <v>40750</v>
      </c>
      <c r="J251">
        <v>4695</v>
      </c>
      <c r="K251">
        <v>154.06</v>
      </c>
      <c r="L251">
        <v>90.93</v>
      </c>
      <c r="M251">
        <f t="shared" si="27"/>
        <v>723311.7</v>
      </c>
      <c r="N251">
        <f t="shared" si="28"/>
        <v>426916.35000000003</v>
      </c>
      <c r="O251">
        <f t="shared" si="29"/>
        <v>296395.34999999992</v>
      </c>
      <c r="P251" s="6">
        <f t="shared" si="30"/>
        <v>0.40977541217707381</v>
      </c>
      <c r="Q251">
        <f t="shared" si="31"/>
        <v>6</v>
      </c>
      <c r="R251">
        <f t="shared" si="32"/>
        <v>2011</v>
      </c>
      <c r="S251" t="str">
        <f t="shared" si="33"/>
        <v>July</v>
      </c>
      <c r="T251">
        <f t="shared" si="34"/>
        <v>7</v>
      </c>
      <c r="U251" t="str">
        <f t="shared" si="35"/>
        <v>Medium Profit</v>
      </c>
    </row>
    <row r="252" spans="1:21" x14ac:dyDescent="0.35">
      <c r="A252" s="5" t="s">
        <v>50</v>
      </c>
      <c r="B252" s="5" t="s">
        <v>435</v>
      </c>
      <c r="C252" t="s">
        <v>72</v>
      </c>
      <c r="D252" t="s">
        <v>436</v>
      </c>
      <c r="E252" t="s">
        <v>23</v>
      </c>
      <c r="F252" t="s">
        <v>41</v>
      </c>
      <c r="G252" s="3">
        <v>41846</v>
      </c>
      <c r="H252">
        <v>812344396</v>
      </c>
      <c r="I252" s="3">
        <v>41881</v>
      </c>
      <c r="J252">
        <v>9614</v>
      </c>
      <c r="K252">
        <v>47.45</v>
      </c>
      <c r="L252">
        <v>31.79</v>
      </c>
      <c r="M252">
        <f t="shared" si="27"/>
        <v>456184.30000000005</v>
      </c>
      <c r="N252">
        <f t="shared" si="28"/>
        <v>305629.06</v>
      </c>
      <c r="O252">
        <f t="shared" si="29"/>
        <v>150555.24000000005</v>
      </c>
      <c r="P252" s="6">
        <f t="shared" si="30"/>
        <v>0.33003161222339311</v>
      </c>
      <c r="Q252">
        <f t="shared" si="31"/>
        <v>35</v>
      </c>
      <c r="R252">
        <f t="shared" si="32"/>
        <v>2014</v>
      </c>
      <c r="S252" t="str">
        <f t="shared" si="33"/>
        <v>July</v>
      </c>
      <c r="T252">
        <f t="shared" si="34"/>
        <v>7</v>
      </c>
      <c r="U252" t="str">
        <f t="shared" si="35"/>
        <v>Medium Profit</v>
      </c>
    </row>
    <row r="253" spans="1:21" x14ac:dyDescent="0.35">
      <c r="A253" s="5" t="s">
        <v>37</v>
      </c>
      <c r="B253" s="5" t="s">
        <v>107</v>
      </c>
      <c r="C253" t="s">
        <v>92</v>
      </c>
      <c r="D253" t="s">
        <v>437</v>
      </c>
      <c r="E253" t="s">
        <v>29</v>
      </c>
      <c r="F253" t="s">
        <v>24</v>
      </c>
      <c r="G253" s="3">
        <v>41875</v>
      </c>
      <c r="H253">
        <v>947620856</v>
      </c>
      <c r="I253" s="3">
        <v>41885</v>
      </c>
      <c r="J253">
        <v>924</v>
      </c>
      <c r="K253">
        <v>421.89</v>
      </c>
      <c r="L253">
        <v>364.69</v>
      </c>
      <c r="M253">
        <f t="shared" si="27"/>
        <v>389826.36</v>
      </c>
      <c r="N253">
        <f t="shared" si="28"/>
        <v>336973.56</v>
      </c>
      <c r="O253">
        <f t="shared" si="29"/>
        <v>52852.799999999988</v>
      </c>
      <c r="P253" s="6">
        <f t="shared" si="30"/>
        <v>0.13558036455000116</v>
      </c>
      <c r="Q253">
        <f t="shared" si="31"/>
        <v>10</v>
      </c>
      <c r="R253">
        <f t="shared" si="32"/>
        <v>2014</v>
      </c>
      <c r="S253" t="str">
        <f t="shared" si="33"/>
        <v>August</v>
      </c>
      <c r="T253">
        <f t="shared" si="34"/>
        <v>8</v>
      </c>
      <c r="U253" t="str">
        <f t="shared" si="35"/>
        <v>Low Profit</v>
      </c>
    </row>
    <row r="254" spans="1:21" x14ac:dyDescent="0.35">
      <c r="A254" s="5" t="s">
        <v>33</v>
      </c>
      <c r="B254" s="5" t="s">
        <v>64</v>
      </c>
      <c r="C254" t="s">
        <v>27</v>
      </c>
      <c r="D254" t="s">
        <v>438</v>
      </c>
      <c r="E254" t="s">
        <v>29</v>
      </c>
      <c r="F254" t="s">
        <v>41</v>
      </c>
      <c r="G254" s="3">
        <v>42060</v>
      </c>
      <c r="H254">
        <v>720307290</v>
      </c>
      <c r="I254" s="3">
        <v>42091</v>
      </c>
      <c r="J254">
        <v>3789</v>
      </c>
      <c r="K254">
        <v>154.06</v>
      </c>
      <c r="L254">
        <v>90.93</v>
      </c>
      <c r="M254">
        <f t="shared" si="27"/>
        <v>583733.34</v>
      </c>
      <c r="N254">
        <f t="shared" si="28"/>
        <v>344533.77</v>
      </c>
      <c r="O254">
        <f t="shared" si="29"/>
        <v>239199.56999999995</v>
      </c>
      <c r="P254" s="6">
        <f t="shared" si="30"/>
        <v>0.40977541217707381</v>
      </c>
      <c r="Q254">
        <f t="shared" si="31"/>
        <v>31</v>
      </c>
      <c r="R254">
        <f t="shared" si="32"/>
        <v>2015</v>
      </c>
      <c r="S254" t="str">
        <f t="shared" si="33"/>
        <v>February</v>
      </c>
      <c r="T254">
        <f t="shared" si="34"/>
        <v>2</v>
      </c>
      <c r="U254" t="str">
        <f t="shared" si="35"/>
        <v>Medium Profit</v>
      </c>
    </row>
    <row r="255" spans="1:21" x14ac:dyDescent="0.35">
      <c r="A255" s="5" t="s">
        <v>33</v>
      </c>
      <c r="B255" s="5" t="s">
        <v>439</v>
      </c>
      <c r="C255" t="s">
        <v>60</v>
      </c>
      <c r="D255" t="s">
        <v>440</v>
      </c>
      <c r="E255" t="s">
        <v>29</v>
      </c>
      <c r="F255" t="s">
        <v>41</v>
      </c>
      <c r="G255" s="3">
        <v>42634</v>
      </c>
      <c r="H255">
        <v>352327525</v>
      </c>
      <c r="I255" s="3">
        <v>42670</v>
      </c>
      <c r="J255">
        <v>399</v>
      </c>
      <c r="K255">
        <v>668.27</v>
      </c>
      <c r="L255">
        <v>502.54</v>
      </c>
      <c r="M255">
        <f t="shared" si="27"/>
        <v>266639.73</v>
      </c>
      <c r="N255">
        <f t="shared" si="28"/>
        <v>200513.46000000002</v>
      </c>
      <c r="O255">
        <f t="shared" si="29"/>
        <v>66126.26999999996</v>
      </c>
      <c r="P255" s="6">
        <f t="shared" si="30"/>
        <v>0.24799856345489085</v>
      </c>
      <c r="Q255">
        <f t="shared" si="31"/>
        <v>36</v>
      </c>
      <c r="R255">
        <f t="shared" si="32"/>
        <v>2016</v>
      </c>
      <c r="S255" t="str">
        <f t="shared" si="33"/>
        <v>September</v>
      </c>
      <c r="T255">
        <f t="shared" si="34"/>
        <v>9</v>
      </c>
      <c r="U255" t="str">
        <f t="shared" si="35"/>
        <v>Low Profit</v>
      </c>
    </row>
    <row r="256" spans="1:21" x14ac:dyDescent="0.35">
      <c r="A256" s="5" t="s">
        <v>37</v>
      </c>
      <c r="B256" s="5" t="s">
        <v>62</v>
      </c>
      <c r="C256" t="s">
        <v>60</v>
      </c>
      <c r="D256" t="s">
        <v>441</v>
      </c>
      <c r="E256" t="s">
        <v>29</v>
      </c>
      <c r="F256" t="s">
        <v>32</v>
      </c>
      <c r="G256" s="3">
        <v>41453</v>
      </c>
      <c r="H256">
        <v>585917890</v>
      </c>
      <c r="I256" s="3">
        <v>41478</v>
      </c>
      <c r="J256">
        <v>4979</v>
      </c>
      <c r="K256">
        <v>668.27</v>
      </c>
      <c r="L256">
        <v>502.54</v>
      </c>
      <c r="M256">
        <f t="shared" si="27"/>
        <v>3327316.33</v>
      </c>
      <c r="N256">
        <f t="shared" si="28"/>
        <v>2502146.66</v>
      </c>
      <c r="O256">
        <f t="shared" si="29"/>
        <v>825169.66999999993</v>
      </c>
      <c r="P256" s="6">
        <f t="shared" si="30"/>
        <v>0.24799856345489096</v>
      </c>
      <c r="Q256">
        <f t="shared" si="31"/>
        <v>25</v>
      </c>
      <c r="R256">
        <f t="shared" si="32"/>
        <v>2013</v>
      </c>
      <c r="S256" t="str">
        <f t="shared" si="33"/>
        <v>June</v>
      </c>
      <c r="T256">
        <f t="shared" si="34"/>
        <v>6</v>
      </c>
      <c r="U256" t="str">
        <f t="shared" si="35"/>
        <v>High Profit</v>
      </c>
    </row>
    <row r="257" spans="1:21" x14ac:dyDescent="0.35">
      <c r="A257" s="5" t="s">
        <v>50</v>
      </c>
      <c r="B257" s="5" t="s">
        <v>420</v>
      </c>
      <c r="C257" t="s">
        <v>92</v>
      </c>
      <c r="D257" t="s">
        <v>442</v>
      </c>
      <c r="E257" t="s">
        <v>23</v>
      </c>
      <c r="F257" t="s">
        <v>66</v>
      </c>
      <c r="G257" s="3">
        <v>40913</v>
      </c>
      <c r="H257">
        <v>433627212</v>
      </c>
      <c r="I257" s="3">
        <v>40952</v>
      </c>
      <c r="J257">
        <v>8783</v>
      </c>
      <c r="K257">
        <v>421.89</v>
      </c>
      <c r="L257">
        <v>364.69</v>
      </c>
      <c r="M257">
        <f t="shared" si="27"/>
        <v>3705459.87</v>
      </c>
      <c r="N257">
        <f t="shared" si="28"/>
        <v>3203072.27</v>
      </c>
      <c r="O257">
        <f t="shared" si="29"/>
        <v>502387.60000000009</v>
      </c>
      <c r="P257" s="6">
        <f t="shared" si="30"/>
        <v>0.13558036455000122</v>
      </c>
      <c r="Q257">
        <f t="shared" si="31"/>
        <v>39</v>
      </c>
      <c r="R257">
        <f t="shared" si="32"/>
        <v>2012</v>
      </c>
      <c r="S257" t="str">
        <f t="shared" si="33"/>
        <v>January</v>
      </c>
      <c r="T257">
        <f t="shared" si="34"/>
        <v>1</v>
      </c>
      <c r="U257" t="str">
        <f t="shared" si="35"/>
        <v>High Profit</v>
      </c>
    </row>
    <row r="258" spans="1:21" x14ac:dyDescent="0.35">
      <c r="A258" s="5" t="s">
        <v>42</v>
      </c>
      <c r="B258" s="5" t="s">
        <v>443</v>
      </c>
      <c r="C258" t="s">
        <v>72</v>
      </c>
      <c r="D258" t="s">
        <v>444</v>
      </c>
      <c r="E258" t="s">
        <v>29</v>
      </c>
      <c r="F258" t="s">
        <v>32</v>
      </c>
      <c r="G258" s="3">
        <v>41030</v>
      </c>
      <c r="H258">
        <v>328316819</v>
      </c>
      <c r="I258" s="3">
        <v>41059</v>
      </c>
      <c r="J258">
        <v>5098</v>
      </c>
      <c r="K258">
        <v>47.45</v>
      </c>
      <c r="L258">
        <v>31.79</v>
      </c>
      <c r="M258">
        <f t="shared" si="27"/>
        <v>241900.1</v>
      </c>
      <c r="N258">
        <f t="shared" si="28"/>
        <v>162065.41999999998</v>
      </c>
      <c r="O258">
        <f t="shared" si="29"/>
        <v>79834.680000000022</v>
      </c>
      <c r="P258" s="6">
        <f t="shared" si="30"/>
        <v>0.33003161222339311</v>
      </c>
      <c r="Q258">
        <f t="shared" si="31"/>
        <v>29</v>
      </c>
      <c r="R258">
        <f t="shared" si="32"/>
        <v>2012</v>
      </c>
      <c r="S258" t="str">
        <f t="shared" si="33"/>
        <v>May</v>
      </c>
      <c r="T258">
        <f t="shared" si="34"/>
        <v>5</v>
      </c>
      <c r="U258" t="str">
        <f t="shared" si="35"/>
        <v>Low Profit</v>
      </c>
    </row>
    <row r="259" spans="1:21" x14ac:dyDescent="0.35">
      <c r="A259" s="5" t="s">
        <v>37</v>
      </c>
      <c r="B259" s="5" t="s">
        <v>445</v>
      </c>
      <c r="C259" t="s">
        <v>35</v>
      </c>
      <c r="D259" t="s">
        <v>446</v>
      </c>
      <c r="E259" t="s">
        <v>23</v>
      </c>
      <c r="F259" t="s">
        <v>32</v>
      </c>
      <c r="G259" s="3">
        <v>40829</v>
      </c>
      <c r="H259">
        <v>773160541</v>
      </c>
      <c r="I259" s="3">
        <v>40868</v>
      </c>
      <c r="J259">
        <v>4240</v>
      </c>
      <c r="K259">
        <v>205.7</v>
      </c>
      <c r="L259">
        <v>117.11</v>
      </c>
      <c r="M259">
        <f t="shared" ref="M259:M322" si="36">J259*K259</f>
        <v>872168</v>
      </c>
      <c r="N259">
        <f t="shared" ref="N259:N322" si="37">J259*L259</f>
        <v>496546.4</v>
      </c>
      <c r="O259">
        <f t="shared" ref="O259:O322" si="38">M259-N259</f>
        <v>375621.6</v>
      </c>
      <c r="P259" s="6">
        <f t="shared" ref="P259:P322" si="39">O259/M259</f>
        <v>0.43067574137092851</v>
      </c>
      <c r="Q259">
        <f t="shared" ref="Q259:Q322" si="40">I259-G259</f>
        <v>39</v>
      </c>
      <c r="R259">
        <f t="shared" ref="R259:R322" si="41">YEAR(G259)</f>
        <v>2011</v>
      </c>
      <c r="S259" t="str">
        <f t="shared" ref="S259:S322" si="42">TEXT(G259,"mmmm")</f>
        <v>October</v>
      </c>
      <c r="T259">
        <f t="shared" ref="T259:T322" si="43">MONTH(G259)</f>
        <v>10</v>
      </c>
      <c r="U259" t="str">
        <f t="shared" ref="U259:U322" si="44">IF(O259&gt;=500000,"High Profit",
IF(O259&gt;=100000,"Medium Profit","Low Profit"))</f>
        <v>Medium Profit</v>
      </c>
    </row>
    <row r="260" spans="1:21" x14ac:dyDescent="0.35">
      <c r="A260" s="5" t="s">
        <v>53</v>
      </c>
      <c r="B260" s="5" t="s">
        <v>381</v>
      </c>
      <c r="C260" t="s">
        <v>60</v>
      </c>
      <c r="D260" t="s">
        <v>447</v>
      </c>
      <c r="E260" t="s">
        <v>29</v>
      </c>
      <c r="F260" t="s">
        <v>24</v>
      </c>
      <c r="G260" s="3">
        <v>42487</v>
      </c>
      <c r="H260">
        <v>991644704</v>
      </c>
      <c r="I260" s="3">
        <v>42508</v>
      </c>
      <c r="J260">
        <v>8559</v>
      </c>
      <c r="K260">
        <v>668.27</v>
      </c>
      <c r="L260">
        <v>502.54</v>
      </c>
      <c r="M260">
        <f t="shared" si="36"/>
        <v>5719722.9299999997</v>
      </c>
      <c r="N260">
        <f t="shared" si="37"/>
        <v>4301239.8600000003</v>
      </c>
      <c r="O260">
        <f t="shared" si="38"/>
        <v>1418483.0699999994</v>
      </c>
      <c r="P260" s="6">
        <f t="shared" si="39"/>
        <v>0.24799856345489088</v>
      </c>
      <c r="Q260">
        <f t="shared" si="40"/>
        <v>21</v>
      </c>
      <c r="R260">
        <f t="shared" si="41"/>
        <v>2016</v>
      </c>
      <c r="S260" t="str">
        <f t="shared" si="42"/>
        <v>April</v>
      </c>
      <c r="T260">
        <f t="shared" si="43"/>
        <v>4</v>
      </c>
      <c r="U260" t="str">
        <f t="shared" si="44"/>
        <v>High Profit</v>
      </c>
    </row>
    <row r="261" spans="1:21" x14ac:dyDescent="0.35">
      <c r="A261" s="5" t="s">
        <v>33</v>
      </c>
      <c r="B261" s="5" t="s">
        <v>448</v>
      </c>
      <c r="C261" t="s">
        <v>92</v>
      </c>
      <c r="D261" t="s">
        <v>449</v>
      </c>
      <c r="E261" t="s">
        <v>29</v>
      </c>
      <c r="F261" t="s">
        <v>24</v>
      </c>
      <c r="G261" s="3">
        <v>41658</v>
      </c>
      <c r="H261">
        <v>277568137</v>
      </c>
      <c r="I261" s="3">
        <v>41677</v>
      </c>
      <c r="J261">
        <v>7435</v>
      </c>
      <c r="K261">
        <v>421.89</v>
      </c>
      <c r="L261">
        <v>364.69</v>
      </c>
      <c r="M261">
        <f t="shared" si="36"/>
        <v>3136752.15</v>
      </c>
      <c r="N261">
        <f t="shared" si="37"/>
        <v>2711470.15</v>
      </c>
      <c r="O261">
        <f t="shared" si="38"/>
        <v>425282</v>
      </c>
      <c r="P261" s="6">
        <f t="shared" si="39"/>
        <v>0.13558036455000119</v>
      </c>
      <c r="Q261">
        <f t="shared" si="40"/>
        <v>19</v>
      </c>
      <c r="R261">
        <f t="shared" si="41"/>
        <v>2014</v>
      </c>
      <c r="S261" t="str">
        <f t="shared" si="42"/>
        <v>January</v>
      </c>
      <c r="T261">
        <f t="shared" si="43"/>
        <v>1</v>
      </c>
      <c r="U261" t="str">
        <f t="shared" si="44"/>
        <v>Medium Profit</v>
      </c>
    </row>
    <row r="262" spans="1:21" x14ac:dyDescent="0.35">
      <c r="A262" s="5" t="s">
        <v>50</v>
      </c>
      <c r="B262" s="5" t="s">
        <v>204</v>
      </c>
      <c r="C262" t="s">
        <v>39</v>
      </c>
      <c r="D262" t="s">
        <v>450</v>
      </c>
      <c r="E262" t="s">
        <v>29</v>
      </c>
      <c r="F262" t="s">
        <v>32</v>
      </c>
      <c r="G262" s="3">
        <v>42680</v>
      </c>
      <c r="H262">
        <v>245042169</v>
      </c>
      <c r="I262" s="3">
        <v>42719</v>
      </c>
      <c r="J262">
        <v>2278</v>
      </c>
      <c r="K262">
        <v>9.33</v>
      </c>
      <c r="L262">
        <v>6.92</v>
      </c>
      <c r="M262">
        <f t="shared" si="36"/>
        <v>21253.74</v>
      </c>
      <c r="N262">
        <f t="shared" si="37"/>
        <v>15763.76</v>
      </c>
      <c r="O262">
        <f t="shared" si="38"/>
        <v>5489.9800000000014</v>
      </c>
      <c r="P262" s="6">
        <f t="shared" si="39"/>
        <v>0.25830653804930337</v>
      </c>
      <c r="Q262">
        <f t="shared" si="40"/>
        <v>39</v>
      </c>
      <c r="R262">
        <f t="shared" si="41"/>
        <v>2016</v>
      </c>
      <c r="S262" t="str">
        <f t="shared" si="42"/>
        <v>November</v>
      </c>
      <c r="T262">
        <f t="shared" si="43"/>
        <v>11</v>
      </c>
      <c r="U262" t="str">
        <f t="shared" si="44"/>
        <v>Low Profit</v>
      </c>
    </row>
    <row r="263" spans="1:21" x14ac:dyDescent="0.35">
      <c r="A263" s="5" t="s">
        <v>37</v>
      </c>
      <c r="B263" s="5" t="s">
        <v>343</v>
      </c>
      <c r="C263" t="s">
        <v>60</v>
      </c>
      <c r="D263" t="s">
        <v>451</v>
      </c>
      <c r="E263" t="s">
        <v>29</v>
      </c>
      <c r="F263" t="s">
        <v>24</v>
      </c>
      <c r="G263" s="3">
        <v>40602</v>
      </c>
      <c r="H263">
        <v>778490626</v>
      </c>
      <c r="I263" s="3">
        <v>40626</v>
      </c>
      <c r="J263">
        <v>1531</v>
      </c>
      <c r="K263">
        <v>668.27</v>
      </c>
      <c r="L263">
        <v>502.54</v>
      </c>
      <c r="M263">
        <f t="shared" si="36"/>
        <v>1023121.37</v>
      </c>
      <c r="N263">
        <f t="shared" si="37"/>
        <v>769388.74</v>
      </c>
      <c r="O263">
        <f t="shared" si="38"/>
        <v>253732.63</v>
      </c>
      <c r="P263" s="6">
        <f t="shared" si="39"/>
        <v>0.24799856345489099</v>
      </c>
      <c r="Q263">
        <f t="shared" si="40"/>
        <v>24</v>
      </c>
      <c r="R263">
        <f t="shared" si="41"/>
        <v>2011</v>
      </c>
      <c r="S263" t="str">
        <f t="shared" si="42"/>
        <v>February</v>
      </c>
      <c r="T263">
        <f t="shared" si="43"/>
        <v>2</v>
      </c>
      <c r="U263" t="str">
        <f t="shared" si="44"/>
        <v>Medium Profit</v>
      </c>
    </row>
    <row r="264" spans="1:21" x14ac:dyDescent="0.35">
      <c r="A264" s="5" t="s">
        <v>19</v>
      </c>
      <c r="B264" s="5" t="s">
        <v>452</v>
      </c>
      <c r="C264" t="s">
        <v>30</v>
      </c>
      <c r="D264" t="s">
        <v>453</v>
      </c>
      <c r="E264" t="s">
        <v>29</v>
      </c>
      <c r="F264" t="s">
        <v>32</v>
      </c>
      <c r="G264" s="3">
        <v>41923</v>
      </c>
      <c r="H264">
        <v>482649838</v>
      </c>
      <c r="I264" s="3">
        <v>41956</v>
      </c>
      <c r="J264">
        <v>5668</v>
      </c>
      <c r="K264">
        <v>255.28</v>
      </c>
      <c r="L264">
        <v>159.41999999999999</v>
      </c>
      <c r="M264">
        <f t="shared" si="36"/>
        <v>1446927.04</v>
      </c>
      <c r="N264">
        <f t="shared" si="37"/>
        <v>903592.55999999994</v>
      </c>
      <c r="O264">
        <f t="shared" si="38"/>
        <v>543334.4800000001</v>
      </c>
      <c r="P264" s="6">
        <f t="shared" si="39"/>
        <v>0.37550924475086184</v>
      </c>
      <c r="Q264">
        <f t="shared" si="40"/>
        <v>33</v>
      </c>
      <c r="R264">
        <f t="shared" si="41"/>
        <v>2014</v>
      </c>
      <c r="S264" t="str">
        <f t="shared" si="42"/>
        <v>October</v>
      </c>
      <c r="T264">
        <f t="shared" si="43"/>
        <v>10</v>
      </c>
      <c r="U264" t="str">
        <f t="shared" si="44"/>
        <v>High Profit</v>
      </c>
    </row>
    <row r="265" spans="1:21" x14ac:dyDescent="0.35">
      <c r="A265" s="5" t="s">
        <v>37</v>
      </c>
      <c r="B265" s="5" t="s">
        <v>302</v>
      </c>
      <c r="C265" t="s">
        <v>72</v>
      </c>
      <c r="D265" t="s">
        <v>454</v>
      </c>
      <c r="E265" t="s">
        <v>29</v>
      </c>
      <c r="F265" t="s">
        <v>66</v>
      </c>
      <c r="G265" s="3">
        <v>41085</v>
      </c>
      <c r="H265">
        <v>732568633</v>
      </c>
      <c r="I265" s="3">
        <v>41095</v>
      </c>
      <c r="J265">
        <v>2193</v>
      </c>
      <c r="K265">
        <v>47.45</v>
      </c>
      <c r="L265">
        <v>31.79</v>
      </c>
      <c r="M265">
        <f t="shared" si="36"/>
        <v>104057.85</v>
      </c>
      <c r="N265">
        <f t="shared" si="37"/>
        <v>69715.47</v>
      </c>
      <c r="O265">
        <f t="shared" si="38"/>
        <v>34342.380000000005</v>
      </c>
      <c r="P265" s="6">
        <f t="shared" si="39"/>
        <v>0.33003161222339306</v>
      </c>
      <c r="Q265">
        <f t="shared" si="40"/>
        <v>10</v>
      </c>
      <c r="R265">
        <f t="shared" si="41"/>
        <v>2012</v>
      </c>
      <c r="S265" t="str">
        <f t="shared" si="42"/>
        <v>June</v>
      </c>
      <c r="T265">
        <f t="shared" si="43"/>
        <v>6</v>
      </c>
      <c r="U265" t="str">
        <f t="shared" si="44"/>
        <v>Low Profit</v>
      </c>
    </row>
    <row r="266" spans="1:21" x14ac:dyDescent="0.35">
      <c r="A266" s="5" t="s">
        <v>42</v>
      </c>
      <c r="B266" s="5" t="s">
        <v>361</v>
      </c>
      <c r="C266" t="s">
        <v>60</v>
      </c>
      <c r="D266" t="s">
        <v>455</v>
      </c>
      <c r="E266" t="s">
        <v>29</v>
      </c>
      <c r="F266" t="s">
        <v>24</v>
      </c>
      <c r="G266" s="3">
        <v>41219</v>
      </c>
      <c r="H266">
        <v>723608338</v>
      </c>
      <c r="I266" s="3">
        <v>41236</v>
      </c>
      <c r="J266">
        <v>642</v>
      </c>
      <c r="K266">
        <v>668.27</v>
      </c>
      <c r="L266">
        <v>502.54</v>
      </c>
      <c r="M266">
        <f t="shared" si="36"/>
        <v>429029.33999999997</v>
      </c>
      <c r="N266">
        <f t="shared" si="37"/>
        <v>322630.68</v>
      </c>
      <c r="O266">
        <f t="shared" si="38"/>
        <v>106398.65999999997</v>
      </c>
      <c r="P266" s="6">
        <f t="shared" si="39"/>
        <v>0.24799856345489094</v>
      </c>
      <c r="Q266">
        <f t="shared" si="40"/>
        <v>17</v>
      </c>
      <c r="R266">
        <f t="shared" si="41"/>
        <v>2012</v>
      </c>
      <c r="S266" t="str">
        <f t="shared" si="42"/>
        <v>November</v>
      </c>
      <c r="T266">
        <f t="shared" si="43"/>
        <v>11</v>
      </c>
      <c r="U266" t="str">
        <f t="shared" si="44"/>
        <v>Medium Profit</v>
      </c>
    </row>
    <row r="267" spans="1:21" x14ac:dyDescent="0.35">
      <c r="A267" s="5" t="s">
        <v>50</v>
      </c>
      <c r="B267" s="5" t="s">
        <v>456</v>
      </c>
      <c r="C267" t="s">
        <v>60</v>
      </c>
      <c r="D267" t="s">
        <v>457</v>
      </c>
      <c r="E267" t="s">
        <v>23</v>
      </c>
      <c r="F267" t="s">
        <v>41</v>
      </c>
      <c r="G267" s="3">
        <v>41694</v>
      </c>
      <c r="H267">
        <v>621442782</v>
      </c>
      <c r="I267" s="3">
        <v>41743</v>
      </c>
      <c r="J267">
        <v>7584</v>
      </c>
      <c r="K267">
        <v>668.27</v>
      </c>
      <c r="L267">
        <v>502.54</v>
      </c>
      <c r="M267">
        <f t="shared" si="36"/>
        <v>5068159.68</v>
      </c>
      <c r="N267">
        <f t="shared" si="37"/>
        <v>3811263.3600000003</v>
      </c>
      <c r="O267">
        <f t="shared" si="38"/>
        <v>1256896.3199999994</v>
      </c>
      <c r="P267" s="6">
        <f t="shared" si="39"/>
        <v>0.24799856345489088</v>
      </c>
      <c r="Q267">
        <f t="shared" si="40"/>
        <v>49</v>
      </c>
      <c r="R267">
        <f t="shared" si="41"/>
        <v>2014</v>
      </c>
      <c r="S267" t="str">
        <f t="shared" si="42"/>
        <v>February</v>
      </c>
      <c r="T267">
        <f t="shared" si="43"/>
        <v>2</v>
      </c>
      <c r="U267" t="str">
        <f t="shared" si="44"/>
        <v>High Profit</v>
      </c>
    </row>
    <row r="268" spans="1:21" x14ac:dyDescent="0.35">
      <c r="A268" s="5" t="s">
        <v>19</v>
      </c>
      <c r="B268" s="5" t="s">
        <v>127</v>
      </c>
      <c r="C268" t="s">
        <v>30</v>
      </c>
      <c r="D268" t="s">
        <v>458</v>
      </c>
      <c r="E268" t="s">
        <v>23</v>
      </c>
      <c r="F268" t="s">
        <v>24</v>
      </c>
      <c r="G268" s="3">
        <v>42266</v>
      </c>
      <c r="H268">
        <v>212058293</v>
      </c>
      <c r="I268" s="3">
        <v>42283</v>
      </c>
      <c r="J268">
        <v>1616</v>
      </c>
      <c r="K268">
        <v>255.28</v>
      </c>
      <c r="L268">
        <v>159.41999999999999</v>
      </c>
      <c r="M268">
        <f t="shared" si="36"/>
        <v>412532.47999999998</v>
      </c>
      <c r="N268">
        <f t="shared" si="37"/>
        <v>257622.71999999997</v>
      </c>
      <c r="O268">
        <f t="shared" si="38"/>
        <v>154909.76000000001</v>
      </c>
      <c r="P268" s="6">
        <f t="shared" si="39"/>
        <v>0.37550924475086184</v>
      </c>
      <c r="Q268">
        <f t="shared" si="40"/>
        <v>17</v>
      </c>
      <c r="R268">
        <f t="shared" si="41"/>
        <v>2015</v>
      </c>
      <c r="S268" t="str">
        <f t="shared" si="42"/>
        <v>September</v>
      </c>
      <c r="T268">
        <f t="shared" si="43"/>
        <v>9</v>
      </c>
      <c r="U268" t="str">
        <f t="shared" si="44"/>
        <v>Medium Profit</v>
      </c>
    </row>
    <row r="269" spans="1:21" x14ac:dyDescent="0.35">
      <c r="A269" s="5" t="s">
        <v>53</v>
      </c>
      <c r="B269" s="5" t="s">
        <v>340</v>
      </c>
      <c r="C269" t="s">
        <v>58</v>
      </c>
      <c r="D269" t="s">
        <v>459</v>
      </c>
      <c r="E269" t="s">
        <v>23</v>
      </c>
      <c r="F269" t="s">
        <v>66</v>
      </c>
      <c r="G269" s="3">
        <v>41702</v>
      </c>
      <c r="H269">
        <v>251753699</v>
      </c>
      <c r="I269" s="3">
        <v>41722</v>
      </c>
      <c r="J269">
        <v>8369</v>
      </c>
      <c r="K269">
        <v>152.58000000000001</v>
      </c>
      <c r="L269">
        <v>97.44</v>
      </c>
      <c r="M269">
        <f t="shared" si="36"/>
        <v>1276942.02</v>
      </c>
      <c r="N269">
        <f t="shared" si="37"/>
        <v>815475.36</v>
      </c>
      <c r="O269">
        <f t="shared" si="38"/>
        <v>461466.66000000003</v>
      </c>
      <c r="P269" s="6">
        <f t="shared" si="39"/>
        <v>0.36138419189933152</v>
      </c>
      <c r="Q269">
        <f t="shared" si="40"/>
        <v>20</v>
      </c>
      <c r="R269">
        <f t="shared" si="41"/>
        <v>2014</v>
      </c>
      <c r="S269" t="str">
        <f t="shared" si="42"/>
        <v>March</v>
      </c>
      <c r="T269">
        <f t="shared" si="43"/>
        <v>3</v>
      </c>
      <c r="U269" t="str">
        <f t="shared" si="44"/>
        <v>Medium Profit</v>
      </c>
    </row>
    <row r="270" spans="1:21" x14ac:dyDescent="0.35">
      <c r="A270" s="5" t="s">
        <v>37</v>
      </c>
      <c r="B270" s="5" t="s">
        <v>186</v>
      </c>
      <c r="C270" t="s">
        <v>39</v>
      </c>
      <c r="D270" t="s">
        <v>460</v>
      </c>
      <c r="E270" t="s">
        <v>29</v>
      </c>
      <c r="F270" t="s">
        <v>24</v>
      </c>
      <c r="G270" s="3">
        <v>41920</v>
      </c>
      <c r="H270">
        <v>217140328</v>
      </c>
      <c r="I270" s="3">
        <v>41942</v>
      </c>
      <c r="J270">
        <v>5503</v>
      </c>
      <c r="K270">
        <v>9.33</v>
      </c>
      <c r="L270">
        <v>6.92</v>
      </c>
      <c r="M270">
        <f t="shared" si="36"/>
        <v>51342.99</v>
      </c>
      <c r="N270">
        <f t="shared" si="37"/>
        <v>38080.76</v>
      </c>
      <c r="O270">
        <f t="shared" si="38"/>
        <v>13262.229999999996</v>
      </c>
      <c r="P270" s="6">
        <f t="shared" si="39"/>
        <v>0.25830653804930326</v>
      </c>
      <c r="Q270">
        <f t="shared" si="40"/>
        <v>22</v>
      </c>
      <c r="R270">
        <f t="shared" si="41"/>
        <v>2014</v>
      </c>
      <c r="S270" t="str">
        <f t="shared" si="42"/>
        <v>October</v>
      </c>
      <c r="T270">
        <f t="shared" si="43"/>
        <v>10</v>
      </c>
      <c r="U270" t="str">
        <f t="shared" si="44"/>
        <v>Low Profit</v>
      </c>
    </row>
    <row r="271" spans="1:21" x14ac:dyDescent="0.35">
      <c r="A271" s="5" t="s">
        <v>37</v>
      </c>
      <c r="B271" s="5" t="s">
        <v>161</v>
      </c>
      <c r="C271" t="s">
        <v>27</v>
      </c>
      <c r="D271" t="s">
        <v>461</v>
      </c>
      <c r="E271" t="s">
        <v>29</v>
      </c>
      <c r="F271" t="s">
        <v>32</v>
      </c>
      <c r="G271" s="3">
        <v>41079</v>
      </c>
      <c r="H271">
        <v>555142009</v>
      </c>
      <c r="I271" s="3">
        <v>41100</v>
      </c>
      <c r="J271">
        <v>7712</v>
      </c>
      <c r="K271">
        <v>154.06</v>
      </c>
      <c r="L271">
        <v>90.93</v>
      </c>
      <c r="M271">
        <f t="shared" si="36"/>
        <v>1188110.72</v>
      </c>
      <c r="N271">
        <f t="shared" si="37"/>
        <v>701252.16</v>
      </c>
      <c r="O271">
        <f t="shared" si="38"/>
        <v>486858.55999999994</v>
      </c>
      <c r="P271" s="6">
        <f t="shared" si="39"/>
        <v>0.40977541217707381</v>
      </c>
      <c r="Q271">
        <f t="shared" si="40"/>
        <v>21</v>
      </c>
      <c r="R271">
        <f t="shared" si="41"/>
        <v>2012</v>
      </c>
      <c r="S271" t="str">
        <f t="shared" si="42"/>
        <v>June</v>
      </c>
      <c r="T271">
        <f t="shared" si="43"/>
        <v>6</v>
      </c>
      <c r="U271" t="str">
        <f t="shared" si="44"/>
        <v>Medium Profit</v>
      </c>
    </row>
    <row r="272" spans="1:21" x14ac:dyDescent="0.35">
      <c r="A272" s="5" t="s">
        <v>33</v>
      </c>
      <c r="B272" s="5" t="s">
        <v>143</v>
      </c>
      <c r="C272" t="s">
        <v>48</v>
      </c>
      <c r="D272" t="s">
        <v>462</v>
      </c>
      <c r="E272" t="s">
        <v>29</v>
      </c>
      <c r="F272" t="s">
        <v>32</v>
      </c>
      <c r="G272" s="3">
        <v>40493</v>
      </c>
      <c r="H272">
        <v>432995069</v>
      </c>
      <c r="I272" s="3">
        <v>40525</v>
      </c>
      <c r="J272">
        <v>1718</v>
      </c>
      <c r="K272">
        <v>109.28</v>
      </c>
      <c r="L272">
        <v>35.840000000000003</v>
      </c>
      <c r="M272">
        <f t="shared" si="36"/>
        <v>187743.04</v>
      </c>
      <c r="N272">
        <f t="shared" si="37"/>
        <v>61573.120000000003</v>
      </c>
      <c r="O272">
        <f t="shared" si="38"/>
        <v>126169.92000000001</v>
      </c>
      <c r="P272" s="6">
        <f t="shared" si="39"/>
        <v>0.67203513909224011</v>
      </c>
      <c r="Q272">
        <f t="shared" si="40"/>
        <v>32</v>
      </c>
      <c r="R272">
        <f t="shared" si="41"/>
        <v>2010</v>
      </c>
      <c r="S272" t="str">
        <f t="shared" si="42"/>
        <v>November</v>
      </c>
      <c r="T272">
        <f t="shared" si="43"/>
        <v>11</v>
      </c>
      <c r="U272" t="str">
        <f t="shared" si="44"/>
        <v>Medium Profit</v>
      </c>
    </row>
    <row r="273" spans="1:21" x14ac:dyDescent="0.35">
      <c r="A273" s="5" t="s">
        <v>19</v>
      </c>
      <c r="B273" s="5" t="s">
        <v>182</v>
      </c>
      <c r="C273" t="s">
        <v>83</v>
      </c>
      <c r="D273" t="s">
        <v>463</v>
      </c>
      <c r="E273" t="s">
        <v>23</v>
      </c>
      <c r="F273" t="s">
        <v>41</v>
      </c>
      <c r="G273" s="3">
        <v>40483</v>
      </c>
      <c r="H273">
        <v>888248336</v>
      </c>
      <c r="I273" s="3">
        <v>40489</v>
      </c>
      <c r="J273">
        <v>1276</v>
      </c>
      <c r="K273">
        <v>81.73</v>
      </c>
      <c r="L273">
        <v>56.67</v>
      </c>
      <c r="M273">
        <f t="shared" si="36"/>
        <v>104287.48000000001</v>
      </c>
      <c r="N273">
        <f t="shared" si="37"/>
        <v>72310.92</v>
      </c>
      <c r="O273">
        <f t="shared" si="38"/>
        <v>31976.560000000012</v>
      </c>
      <c r="P273" s="6">
        <f t="shared" si="39"/>
        <v>0.30661935641747223</v>
      </c>
      <c r="Q273">
        <f t="shared" si="40"/>
        <v>6</v>
      </c>
      <c r="R273">
        <f t="shared" si="41"/>
        <v>2010</v>
      </c>
      <c r="S273" t="str">
        <f t="shared" si="42"/>
        <v>November</v>
      </c>
      <c r="T273">
        <f t="shared" si="43"/>
        <v>11</v>
      </c>
      <c r="U273" t="str">
        <f t="shared" si="44"/>
        <v>Low Profit</v>
      </c>
    </row>
    <row r="274" spans="1:21" x14ac:dyDescent="0.35">
      <c r="A274" s="5" t="s">
        <v>42</v>
      </c>
      <c r="B274" s="5" t="s">
        <v>464</v>
      </c>
      <c r="C274" t="s">
        <v>27</v>
      </c>
      <c r="D274" t="s">
        <v>465</v>
      </c>
      <c r="E274" t="s">
        <v>29</v>
      </c>
      <c r="F274" t="s">
        <v>32</v>
      </c>
      <c r="G274" s="3">
        <v>41757</v>
      </c>
      <c r="H274">
        <v>778763139</v>
      </c>
      <c r="I274" s="3">
        <v>41768</v>
      </c>
      <c r="J274">
        <v>2173</v>
      </c>
      <c r="K274">
        <v>154.06</v>
      </c>
      <c r="L274">
        <v>90.93</v>
      </c>
      <c r="M274">
        <f t="shared" si="36"/>
        <v>334772.38</v>
      </c>
      <c r="N274">
        <f t="shared" si="37"/>
        <v>197590.89</v>
      </c>
      <c r="O274">
        <f t="shared" si="38"/>
        <v>137181.49</v>
      </c>
      <c r="P274" s="6">
        <f t="shared" si="39"/>
        <v>0.40977541217707386</v>
      </c>
      <c r="Q274">
        <f t="shared" si="40"/>
        <v>11</v>
      </c>
      <c r="R274">
        <f t="shared" si="41"/>
        <v>2014</v>
      </c>
      <c r="S274" t="str">
        <f t="shared" si="42"/>
        <v>April</v>
      </c>
      <c r="T274">
        <f t="shared" si="43"/>
        <v>4</v>
      </c>
      <c r="U274" t="str">
        <f t="shared" si="44"/>
        <v>Medium Profit</v>
      </c>
    </row>
    <row r="275" spans="1:21" x14ac:dyDescent="0.35">
      <c r="A275" s="5" t="s">
        <v>37</v>
      </c>
      <c r="B275" s="5" t="s">
        <v>466</v>
      </c>
      <c r="C275" t="s">
        <v>58</v>
      </c>
      <c r="D275" t="s">
        <v>467</v>
      </c>
      <c r="E275" t="s">
        <v>23</v>
      </c>
      <c r="F275" t="s">
        <v>41</v>
      </c>
      <c r="G275" s="3">
        <v>41265</v>
      </c>
      <c r="H275">
        <v>832713305</v>
      </c>
      <c r="I275" s="3">
        <v>41314</v>
      </c>
      <c r="J275">
        <v>7227</v>
      </c>
      <c r="K275">
        <v>152.58000000000001</v>
      </c>
      <c r="L275">
        <v>97.44</v>
      </c>
      <c r="M275">
        <f t="shared" si="36"/>
        <v>1102695.6600000001</v>
      </c>
      <c r="N275">
        <f t="shared" si="37"/>
        <v>704198.88</v>
      </c>
      <c r="O275">
        <f t="shared" si="38"/>
        <v>398496.78000000014</v>
      </c>
      <c r="P275" s="6">
        <f t="shared" si="39"/>
        <v>0.36138419189933157</v>
      </c>
      <c r="Q275">
        <f t="shared" si="40"/>
        <v>49</v>
      </c>
      <c r="R275">
        <f t="shared" si="41"/>
        <v>2012</v>
      </c>
      <c r="S275" t="str">
        <f t="shared" si="42"/>
        <v>December</v>
      </c>
      <c r="T275">
        <f t="shared" si="43"/>
        <v>12</v>
      </c>
      <c r="U275" t="str">
        <f t="shared" si="44"/>
        <v>Medium Profit</v>
      </c>
    </row>
    <row r="276" spans="1:21" x14ac:dyDescent="0.35">
      <c r="A276" s="5" t="s">
        <v>42</v>
      </c>
      <c r="B276" s="5" t="s">
        <v>135</v>
      </c>
      <c r="C276" t="s">
        <v>60</v>
      </c>
      <c r="D276" t="s">
        <v>468</v>
      </c>
      <c r="E276" t="s">
        <v>23</v>
      </c>
      <c r="F276" t="s">
        <v>24</v>
      </c>
      <c r="G276" s="3">
        <v>41876</v>
      </c>
      <c r="H276">
        <v>498585164</v>
      </c>
      <c r="I276" s="3">
        <v>41911</v>
      </c>
      <c r="J276">
        <v>1285</v>
      </c>
      <c r="K276">
        <v>668.27</v>
      </c>
      <c r="L276">
        <v>502.54</v>
      </c>
      <c r="M276">
        <f t="shared" si="36"/>
        <v>858726.95</v>
      </c>
      <c r="N276">
        <f t="shared" si="37"/>
        <v>645763.9</v>
      </c>
      <c r="O276">
        <f t="shared" si="38"/>
        <v>212963.04999999993</v>
      </c>
      <c r="P276" s="6">
        <f t="shared" si="39"/>
        <v>0.24799856345489091</v>
      </c>
      <c r="Q276">
        <f t="shared" si="40"/>
        <v>35</v>
      </c>
      <c r="R276">
        <f t="shared" si="41"/>
        <v>2014</v>
      </c>
      <c r="S276" t="str">
        <f t="shared" si="42"/>
        <v>August</v>
      </c>
      <c r="T276">
        <f t="shared" si="43"/>
        <v>8</v>
      </c>
      <c r="U276" t="str">
        <f t="shared" si="44"/>
        <v>Medium Profit</v>
      </c>
    </row>
    <row r="277" spans="1:21" x14ac:dyDescent="0.35">
      <c r="A277" s="5" t="s">
        <v>53</v>
      </c>
      <c r="B277" s="5" t="s">
        <v>218</v>
      </c>
      <c r="C277" t="s">
        <v>39</v>
      </c>
      <c r="D277" t="s">
        <v>469</v>
      </c>
      <c r="E277" t="s">
        <v>23</v>
      </c>
      <c r="F277" t="s">
        <v>24</v>
      </c>
      <c r="G277" s="3">
        <v>42700</v>
      </c>
      <c r="H277">
        <v>195177543</v>
      </c>
      <c r="I277" s="3">
        <v>42727</v>
      </c>
      <c r="J277">
        <v>6227</v>
      </c>
      <c r="K277">
        <v>9.33</v>
      </c>
      <c r="L277">
        <v>6.92</v>
      </c>
      <c r="M277">
        <f t="shared" si="36"/>
        <v>58097.91</v>
      </c>
      <c r="N277">
        <f t="shared" si="37"/>
        <v>43090.84</v>
      </c>
      <c r="O277">
        <f t="shared" si="38"/>
        <v>15007.070000000007</v>
      </c>
      <c r="P277" s="6">
        <f t="shared" si="39"/>
        <v>0.25830653804930342</v>
      </c>
      <c r="Q277">
        <f t="shared" si="40"/>
        <v>27</v>
      </c>
      <c r="R277">
        <f t="shared" si="41"/>
        <v>2016</v>
      </c>
      <c r="S277" t="str">
        <f t="shared" si="42"/>
        <v>November</v>
      </c>
      <c r="T277">
        <f t="shared" si="43"/>
        <v>11</v>
      </c>
      <c r="U277" t="str">
        <f t="shared" si="44"/>
        <v>Low Profit</v>
      </c>
    </row>
    <row r="278" spans="1:21" x14ac:dyDescent="0.35">
      <c r="A278" s="5" t="s">
        <v>37</v>
      </c>
      <c r="B278" s="5" t="s">
        <v>429</v>
      </c>
      <c r="C278" t="s">
        <v>35</v>
      </c>
      <c r="D278" t="s">
        <v>470</v>
      </c>
      <c r="E278" t="s">
        <v>29</v>
      </c>
      <c r="F278" t="s">
        <v>32</v>
      </c>
      <c r="G278" s="3">
        <v>40471</v>
      </c>
      <c r="H278">
        <v>861601769</v>
      </c>
      <c r="I278" s="3">
        <v>40514</v>
      </c>
      <c r="J278">
        <v>5965</v>
      </c>
      <c r="K278">
        <v>205.7</v>
      </c>
      <c r="L278">
        <v>117.11</v>
      </c>
      <c r="M278">
        <f t="shared" si="36"/>
        <v>1227000.5</v>
      </c>
      <c r="N278">
        <f t="shared" si="37"/>
        <v>698561.15</v>
      </c>
      <c r="O278">
        <f t="shared" si="38"/>
        <v>528439.35</v>
      </c>
      <c r="P278" s="6">
        <f t="shared" si="39"/>
        <v>0.43067574137092851</v>
      </c>
      <c r="Q278">
        <f t="shared" si="40"/>
        <v>43</v>
      </c>
      <c r="R278">
        <f t="shared" si="41"/>
        <v>2010</v>
      </c>
      <c r="S278" t="str">
        <f t="shared" si="42"/>
        <v>October</v>
      </c>
      <c r="T278">
        <f t="shared" si="43"/>
        <v>10</v>
      </c>
      <c r="U278" t="str">
        <f t="shared" si="44"/>
        <v>High Profit</v>
      </c>
    </row>
    <row r="279" spans="1:21" x14ac:dyDescent="0.35">
      <c r="A279" s="5" t="s">
        <v>37</v>
      </c>
      <c r="B279" s="5" t="s">
        <v>411</v>
      </c>
      <c r="C279" t="s">
        <v>92</v>
      </c>
      <c r="D279" t="s">
        <v>471</v>
      </c>
      <c r="E279" t="s">
        <v>29</v>
      </c>
      <c r="F279" t="s">
        <v>41</v>
      </c>
      <c r="G279" s="3">
        <v>41991</v>
      </c>
      <c r="H279">
        <v>807281672</v>
      </c>
      <c r="I279" s="3">
        <v>42030</v>
      </c>
      <c r="J279">
        <v>1441</v>
      </c>
      <c r="K279">
        <v>421.89</v>
      </c>
      <c r="L279">
        <v>364.69</v>
      </c>
      <c r="M279">
        <f t="shared" si="36"/>
        <v>607943.49</v>
      </c>
      <c r="N279">
        <f t="shared" si="37"/>
        <v>525518.29</v>
      </c>
      <c r="O279">
        <f t="shared" si="38"/>
        <v>82425.199999999953</v>
      </c>
      <c r="P279" s="6">
        <f t="shared" si="39"/>
        <v>0.13558036455000111</v>
      </c>
      <c r="Q279">
        <f t="shared" si="40"/>
        <v>39</v>
      </c>
      <c r="R279">
        <f t="shared" si="41"/>
        <v>2014</v>
      </c>
      <c r="S279" t="str">
        <f t="shared" si="42"/>
        <v>December</v>
      </c>
      <c r="T279">
        <f t="shared" si="43"/>
        <v>12</v>
      </c>
      <c r="U279" t="str">
        <f t="shared" si="44"/>
        <v>Low Profit</v>
      </c>
    </row>
    <row r="280" spans="1:21" x14ac:dyDescent="0.35">
      <c r="A280" s="5" t="s">
        <v>37</v>
      </c>
      <c r="B280" s="5" t="s">
        <v>105</v>
      </c>
      <c r="C280" t="s">
        <v>48</v>
      </c>
      <c r="D280" t="s">
        <v>472</v>
      </c>
      <c r="E280" t="s">
        <v>23</v>
      </c>
      <c r="F280" t="s">
        <v>41</v>
      </c>
      <c r="G280" s="3">
        <v>40622</v>
      </c>
      <c r="H280">
        <v>661953580</v>
      </c>
      <c r="I280" s="3">
        <v>40657</v>
      </c>
      <c r="J280">
        <v>5629</v>
      </c>
      <c r="K280">
        <v>109.28</v>
      </c>
      <c r="L280">
        <v>35.840000000000003</v>
      </c>
      <c r="M280">
        <f t="shared" si="36"/>
        <v>615137.12</v>
      </c>
      <c r="N280">
        <f t="shared" si="37"/>
        <v>201743.36000000002</v>
      </c>
      <c r="O280">
        <f t="shared" si="38"/>
        <v>413393.76</v>
      </c>
      <c r="P280" s="6">
        <f t="shared" si="39"/>
        <v>0.67203513909224011</v>
      </c>
      <c r="Q280">
        <f t="shared" si="40"/>
        <v>35</v>
      </c>
      <c r="R280">
        <f t="shared" si="41"/>
        <v>2011</v>
      </c>
      <c r="S280" t="str">
        <f t="shared" si="42"/>
        <v>March</v>
      </c>
      <c r="T280">
        <f t="shared" si="43"/>
        <v>3</v>
      </c>
      <c r="U280" t="str">
        <f t="shared" si="44"/>
        <v>Medium Profit</v>
      </c>
    </row>
    <row r="281" spans="1:21" x14ac:dyDescent="0.35">
      <c r="A281" s="5" t="s">
        <v>42</v>
      </c>
      <c r="B281" s="5" t="s">
        <v>473</v>
      </c>
      <c r="C281" t="s">
        <v>21</v>
      </c>
      <c r="D281" t="s">
        <v>474</v>
      </c>
      <c r="E281" t="s">
        <v>29</v>
      </c>
      <c r="F281" t="s">
        <v>24</v>
      </c>
      <c r="G281" s="3">
        <v>42563</v>
      </c>
      <c r="H281">
        <v>225666320</v>
      </c>
      <c r="I281" s="3">
        <v>42603</v>
      </c>
      <c r="J281">
        <v>8534</v>
      </c>
      <c r="K281">
        <v>437.2</v>
      </c>
      <c r="L281">
        <v>263.33</v>
      </c>
      <c r="M281">
        <f t="shared" si="36"/>
        <v>3731064.8</v>
      </c>
      <c r="N281">
        <f t="shared" si="37"/>
        <v>2247258.2199999997</v>
      </c>
      <c r="O281">
        <f t="shared" si="38"/>
        <v>1483806.58</v>
      </c>
      <c r="P281" s="6">
        <f t="shared" si="39"/>
        <v>0.3976898444647759</v>
      </c>
      <c r="Q281">
        <f t="shared" si="40"/>
        <v>40</v>
      </c>
      <c r="R281">
        <f t="shared" si="41"/>
        <v>2016</v>
      </c>
      <c r="S281" t="str">
        <f t="shared" si="42"/>
        <v>July</v>
      </c>
      <c r="T281">
        <f t="shared" si="43"/>
        <v>7</v>
      </c>
      <c r="U281" t="str">
        <f t="shared" si="44"/>
        <v>High Profit</v>
      </c>
    </row>
    <row r="282" spans="1:21" x14ac:dyDescent="0.35">
      <c r="A282" s="5" t="s">
        <v>42</v>
      </c>
      <c r="B282" s="5" t="s">
        <v>223</v>
      </c>
      <c r="C282" t="s">
        <v>60</v>
      </c>
      <c r="D282" t="s">
        <v>475</v>
      </c>
      <c r="E282" t="s">
        <v>23</v>
      </c>
      <c r="F282" t="s">
        <v>66</v>
      </c>
      <c r="G282" s="3">
        <v>40569</v>
      </c>
      <c r="H282">
        <v>718781220</v>
      </c>
      <c r="I282" s="3">
        <v>40593</v>
      </c>
      <c r="J282">
        <v>2191</v>
      </c>
      <c r="K282">
        <v>668.27</v>
      </c>
      <c r="L282">
        <v>502.54</v>
      </c>
      <c r="M282">
        <f t="shared" si="36"/>
        <v>1464179.57</v>
      </c>
      <c r="N282">
        <f t="shared" si="37"/>
        <v>1101065.1400000001</v>
      </c>
      <c r="O282">
        <f t="shared" si="38"/>
        <v>363114.42999999993</v>
      </c>
      <c r="P282" s="6">
        <f t="shared" si="39"/>
        <v>0.24799856345489094</v>
      </c>
      <c r="Q282">
        <f t="shared" si="40"/>
        <v>24</v>
      </c>
      <c r="R282">
        <f t="shared" si="41"/>
        <v>2011</v>
      </c>
      <c r="S282" t="str">
        <f t="shared" si="42"/>
        <v>January</v>
      </c>
      <c r="T282">
        <f t="shared" si="43"/>
        <v>1</v>
      </c>
      <c r="U282" t="str">
        <f t="shared" si="44"/>
        <v>Medium Profit</v>
      </c>
    </row>
    <row r="283" spans="1:21" x14ac:dyDescent="0.35">
      <c r="A283" s="5" t="s">
        <v>42</v>
      </c>
      <c r="B283" s="5" t="s">
        <v>198</v>
      </c>
      <c r="C283" t="s">
        <v>69</v>
      </c>
      <c r="D283" t="s">
        <v>476</v>
      </c>
      <c r="E283" t="s">
        <v>29</v>
      </c>
      <c r="F283" t="s">
        <v>66</v>
      </c>
      <c r="G283" s="3">
        <v>40233</v>
      </c>
      <c r="H283">
        <v>731972110</v>
      </c>
      <c r="I283" s="3">
        <v>40283</v>
      </c>
      <c r="J283">
        <v>5668</v>
      </c>
      <c r="K283">
        <v>651.21</v>
      </c>
      <c r="L283">
        <v>524.96</v>
      </c>
      <c r="M283">
        <f t="shared" si="36"/>
        <v>3691058.2800000003</v>
      </c>
      <c r="N283">
        <f t="shared" si="37"/>
        <v>2975473.2800000003</v>
      </c>
      <c r="O283">
        <f t="shared" si="38"/>
        <v>715585</v>
      </c>
      <c r="P283" s="6">
        <f t="shared" si="39"/>
        <v>0.19386987300563566</v>
      </c>
      <c r="Q283">
        <f t="shared" si="40"/>
        <v>50</v>
      </c>
      <c r="R283">
        <f t="shared" si="41"/>
        <v>2010</v>
      </c>
      <c r="S283" t="str">
        <f t="shared" si="42"/>
        <v>February</v>
      </c>
      <c r="T283">
        <f t="shared" si="43"/>
        <v>2</v>
      </c>
      <c r="U283" t="str">
        <f t="shared" si="44"/>
        <v>High Profit</v>
      </c>
    </row>
    <row r="284" spans="1:21" x14ac:dyDescent="0.35">
      <c r="A284" s="5" t="s">
        <v>19</v>
      </c>
      <c r="B284" s="5" t="s">
        <v>20</v>
      </c>
      <c r="C284" t="s">
        <v>27</v>
      </c>
      <c r="D284" t="s">
        <v>477</v>
      </c>
      <c r="E284" t="s">
        <v>29</v>
      </c>
      <c r="F284" t="s">
        <v>32</v>
      </c>
      <c r="G284" s="3">
        <v>42006</v>
      </c>
      <c r="H284">
        <v>276225316</v>
      </c>
      <c r="I284" s="3">
        <v>42044</v>
      </c>
      <c r="J284">
        <v>64</v>
      </c>
      <c r="K284">
        <v>154.06</v>
      </c>
      <c r="L284">
        <v>90.93</v>
      </c>
      <c r="M284">
        <f t="shared" si="36"/>
        <v>9859.84</v>
      </c>
      <c r="N284">
        <f t="shared" si="37"/>
        <v>5819.52</v>
      </c>
      <c r="O284">
        <f t="shared" si="38"/>
        <v>4040.3199999999997</v>
      </c>
      <c r="P284" s="6">
        <f t="shared" si="39"/>
        <v>0.40977541217707381</v>
      </c>
      <c r="Q284">
        <f t="shared" si="40"/>
        <v>38</v>
      </c>
      <c r="R284">
        <f t="shared" si="41"/>
        <v>2015</v>
      </c>
      <c r="S284" t="str">
        <f t="shared" si="42"/>
        <v>January</v>
      </c>
      <c r="T284">
        <f t="shared" si="43"/>
        <v>1</v>
      </c>
      <c r="U284" t="str">
        <f t="shared" si="44"/>
        <v>Low Profit</v>
      </c>
    </row>
    <row r="285" spans="1:21" x14ac:dyDescent="0.35">
      <c r="A285" s="5" t="s">
        <v>33</v>
      </c>
      <c r="B285" s="5" t="s">
        <v>243</v>
      </c>
      <c r="C285" t="s">
        <v>69</v>
      </c>
      <c r="D285" t="s">
        <v>478</v>
      </c>
      <c r="E285" t="s">
        <v>23</v>
      </c>
      <c r="F285" t="s">
        <v>32</v>
      </c>
      <c r="G285" s="3">
        <v>42577</v>
      </c>
      <c r="H285">
        <v>332839667</v>
      </c>
      <c r="I285" s="3">
        <v>42578</v>
      </c>
      <c r="J285">
        <v>3509</v>
      </c>
      <c r="K285">
        <v>651.21</v>
      </c>
      <c r="L285">
        <v>524.96</v>
      </c>
      <c r="M285">
        <f t="shared" si="36"/>
        <v>2285095.89</v>
      </c>
      <c r="N285">
        <f t="shared" si="37"/>
        <v>1842084.6400000001</v>
      </c>
      <c r="O285">
        <f t="shared" si="38"/>
        <v>443011.25</v>
      </c>
      <c r="P285" s="6">
        <f t="shared" si="39"/>
        <v>0.19386987300563566</v>
      </c>
      <c r="Q285">
        <f t="shared" si="40"/>
        <v>1</v>
      </c>
      <c r="R285">
        <f t="shared" si="41"/>
        <v>2016</v>
      </c>
      <c r="S285" t="str">
        <f t="shared" si="42"/>
        <v>July</v>
      </c>
      <c r="T285">
        <f t="shared" si="43"/>
        <v>7</v>
      </c>
      <c r="U285" t="str">
        <f t="shared" si="44"/>
        <v>Medium Profit</v>
      </c>
    </row>
    <row r="286" spans="1:21" x14ac:dyDescent="0.35">
      <c r="A286" s="5" t="s">
        <v>19</v>
      </c>
      <c r="B286" s="5" t="s">
        <v>221</v>
      </c>
      <c r="C286" t="s">
        <v>27</v>
      </c>
      <c r="D286" t="s">
        <v>479</v>
      </c>
      <c r="E286" t="s">
        <v>29</v>
      </c>
      <c r="F286" t="s">
        <v>32</v>
      </c>
      <c r="G286" s="3">
        <v>41791</v>
      </c>
      <c r="H286">
        <v>603426492</v>
      </c>
      <c r="I286" s="3">
        <v>41805</v>
      </c>
      <c r="J286">
        <v>6163</v>
      </c>
      <c r="K286">
        <v>154.06</v>
      </c>
      <c r="L286">
        <v>90.93</v>
      </c>
      <c r="M286">
        <f t="shared" si="36"/>
        <v>949471.78</v>
      </c>
      <c r="N286">
        <f t="shared" si="37"/>
        <v>560401.59000000008</v>
      </c>
      <c r="O286">
        <f t="shared" si="38"/>
        <v>389070.18999999994</v>
      </c>
      <c r="P286" s="6">
        <f t="shared" si="39"/>
        <v>0.40977541217707381</v>
      </c>
      <c r="Q286">
        <f t="shared" si="40"/>
        <v>14</v>
      </c>
      <c r="R286">
        <f t="shared" si="41"/>
        <v>2014</v>
      </c>
      <c r="S286" t="str">
        <f t="shared" si="42"/>
        <v>June</v>
      </c>
      <c r="T286">
        <f t="shared" si="43"/>
        <v>6</v>
      </c>
      <c r="U286" t="str">
        <f t="shared" si="44"/>
        <v>Medium Profit</v>
      </c>
    </row>
    <row r="287" spans="1:21" x14ac:dyDescent="0.35">
      <c r="A287" s="5" t="s">
        <v>37</v>
      </c>
      <c r="B287" s="5" t="s">
        <v>161</v>
      </c>
      <c r="C287" t="s">
        <v>72</v>
      </c>
      <c r="D287" t="s">
        <v>480</v>
      </c>
      <c r="E287" t="s">
        <v>23</v>
      </c>
      <c r="F287" t="s">
        <v>41</v>
      </c>
      <c r="G287" s="3">
        <v>41264</v>
      </c>
      <c r="H287">
        <v>859909617</v>
      </c>
      <c r="I287" s="3">
        <v>41303</v>
      </c>
      <c r="J287">
        <v>5220</v>
      </c>
      <c r="K287">
        <v>47.45</v>
      </c>
      <c r="L287">
        <v>31.79</v>
      </c>
      <c r="M287">
        <f t="shared" si="36"/>
        <v>247689.00000000003</v>
      </c>
      <c r="N287">
        <f t="shared" si="37"/>
        <v>165943.79999999999</v>
      </c>
      <c r="O287">
        <f t="shared" si="38"/>
        <v>81745.200000000041</v>
      </c>
      <c r="P287" s="6">
        <f t="shared" si="39"/>
        <v>0.33003161222339317</v>
      </c>
      <c r="Q287">
        <f t="shared" si="40"/>
        <v>39</v>
      </c>
      <c r="R287">
        <f t="shared" si="41"/>
        <v>2012</v>
      </c>
      <c r="S287" t="str">
        <f t="shared" si="42"/>
        <v>December</v>
      </c>
      <c r="T287">
        <f t="shared" si="43"/>
        <v>12</v>
      </c>
      <c r="U287" t="str">
        <f t="shared" si="44"/>
        <v>Low Profit</v>
      </c>
    </row>
    <row r="288" spans="1:21" x14ac:dyDescent="0.35">
      <c r="A288" s="5" t="s">
        <v>42</v>
      </c>
      <c r="B288" s="5" t="s">
        <v>198</v>
      </c>
      <c r="C288" t="s">
        <v>60</v>
      </c>
      <c r="D288" t="s">
        <v>481</v>
      </c>
      <c r="E288" t="s">
        <v>29</v>
      </c>
      <c r="F288" t="s">
        <v>66</v>
      </c>
      <c r="G288" s="3">
        <v>40236</v>
      </c>
      <c r="H288">
        <v>494525372</v>
      </c>
      <c r="I288" s="3">
        <v>40239</v>
      </c>
      <c r="J288">
        <v>9902</v>
      </c>
      <c r="K288">
        <v>668.27</v>
      </c>
      <c r="L288">
        <v>502.54</v>
      </c>
      <c r="M288">
        <f t="shared" si="36"/>
        <v>6617209.54</v>
      </c>
      <c r="N288">
        <f t="shared" si="37"/>
        <v>4976151.08</v>
      </c>
      <c r="O288">
        <f t="shared" si="38"/>
        <v>1641058.46</v>
      </c>
      <c r="P288" s="6">
        <f t="shared" si="39"/>
        <v>0.24799856345489099</v>
      </c>
      <c r="Q288">
        <f t="shared" si="40"/>
        <v>3</v>
      </c>
      <c r="R288">
        <f t="shared" si="41"/>
        <v>2010</v>
      </c>
      <c r="S288" t="str">
        <f t="shared" si="42"/>
        <v>February</v>
      </c>
      <c r="T288">
        <f t="shared" si="43"/>
        <v>2</v>
      </c>
      <c r="U288" t="str">
        <f t="shared" si="44"/>
        <v>High Profit</v>
      </c>
    </row>
    <row r="289" spans="1:21" x14ac:dyDescent="0.35">
      <c r="A289" s="5" t="s">
        <v>42</v>
      </c>
      <c r="B289" s="5" t="s">
        <v>363</v>
      </c>
      <c r="C289" t="s">
        <v>27</v>
      </c>
      <c r="D289" t="s">
        <v>482</v>
      </c>
      <c r="E289" t="s">
        <v>29</v>
      </c>
      <c r="F289" t="s">
        <v>24</v>
      </c>
      <c r="G289" s="3">
        <v>42484</v>
      </c>
      <c r="H289">
        <v>769822585</v>
      </c>
      <c r="I289" s="3">
        <v>42505</v>
      </c>
      <c r="J289">
        <v>6465</v>
      </c>
      <c r="K289">
        <v>154.06</v>
      </c>
      <c r="L289">
        <v>90.93</v>
      </c>
      <c r="M289">
        <f t="shared" si="36"/>
        <v>995997.9</v>
      </c>
      <c r="N289">
        <f t="shared" si="37"/>
        <v>587862.45000000007</v>
      </c>
      <c r="O289">
        <f t="shared" si="38"/>
        <v>408135.44999999995</v>
      </c>
      <c r="P289" s="6">
        <f t="shared" si="39"/>
        <v>0.40977541217707381</v>
      </c>
      <c r="Q289">
        <f t="shared" si="40"/>
        <v>21</v>
      </c>
      <c r="R289">
        <f t="shared" si="41"/>
        <v>2016</v>
      </c>
      <c r="S289" t="str">
        <f t="shared" si="42"/>
        <v>April</v>
      </c>
      <c r="T289">
        <f t="shared" si="43"/>
        <v>4</v>
      </c>
      <c r="U289" t="str">
        <f t="shared" si="44"/>
        <v>Medium Profit</v>
      </c>
    </row>
    <row r="290" spans="1:21" x14ac:dyDescent="0.35">
      <c r="A290" s="5" t="s">
        <v>37</v>
      </c>
      <c r="B290" s="5" t="s">
        <v>278</v>
      </c>
      <c r="C290" t="s">
        <v>27</v>
      </c>
      <c r="D290" t="s">
        <v>483</v>
      </c>
      <c r="E290" t="s">
        <v>23</v>
      </c>
      <c r="F290" t="s">
        <v>32</v>
      </c>
      <c r="G290" s="3">
        <v>41112</v>
      </c>
      <c r="H290">
        <v>768662583</v>
      </c>
      <c r="I290" s="3">
        <v>41131</v>
      </c>
      <c r="J290">
        <v>3195</v>
      </c>
      <c r="K290">
        <v>154.06</v>
      </c>
      <c r="L290">
        <v>90.93</v>
      </c>
      <c r="M290">
        <f t="shared" si="36"/>
        <v>492221.7</v>
      </c>
      <c r="N290">
        <f t="shared" si="37"/>
        <v>290521.35000000003</v>
      </c>
      <c r="O290">
        <f t="shared" si="38"/>
        <v>201700.34999999998</v>
      </c>
      <c r="P290" s="6">
        <f t="shared" si="39"/>
        <v>0.40977541217707381</v>
      </c>
      <c r="Q290">
        <f t="shared" si="40"/>
        <v>19</v>
      </c>
      <c r="R290">
        <f t="shared" si="41"/>
        <v>2012</v>
      </c>
      <c r="S290" t="str">
        <f t="shared" si="42"/>
        <v>July</v>
      </c>
      <c r="T290">
        <f t="shared" si="43"/>
        <v>7</v>
      </c>
      <c r="U290" t="str">
        <f t="shared" si="44"/>
        <v>Medium Profit</v>
      </c>
    </row>
    <row r="291" spans="1:21" x14ac:dyDescent="0.35">
      <c r="A291" s="5" t="s">
        <v>50</v>
      </c>
      <c r="B291" s="5" t="s">
        <v>98</v>
      </c>
      <c r="C291" t="s">
        <v>35</v>
      </c>
      <c r="D291" t="s">
        <v>484</v>
      </c>
      <c r="E291" t="s">
        <v>29</v>
      </c>
      <c r="F291" t="s">
        <v>24</v>
      </c>
      <c r="G291" s="3">
        <v>42057</v>
      </c>
      <c r="H291">
        <v>544219195</v>
      </c>
      <c r="I291" s="3">
        <v>42072</v>
      </c>
      <c r="J291">
        <v>5409</v>
      </c>
      <c r="K291">
        <v>205.7</v>
      </c>
      <c r="L291">
        <v>117.11</v>
      </c>
      <c r="M291">
        <f t="shared" si="36"/>
        <v>1112631.3</v>
      </c>
      <c r="N291">
        <f t="shared" si="37"/>
        <v>633447.99</v>
      </c>
      <c r="O291">
        <f t="shared" si="38"/>
        <v>479183.31000000006</v>
      </c>
      <c r="P291" s="6">
        <f t="shared" si="39"/>
        <v>0.43067574137092857</v>
      </c>
      <c r="Q291">
        <f t="shared" si="40"/>
        <v>15</v>
      </c>
      <c r="R291">
        <f t="shared" si="41"/>
        <v>2015</v>
      </c>
      <c r="S291" t="str">
        <f t="shared" si="42"/>
        <v>February</v>
      </c>
      <c r="T291">
        <f t="shared" si="43"/>
        <v>2</v>
      </c>
      <c r="U291" t="str">
        <f t="shared" si="44"/>
        <v>Medium Profit</v>
      </c>
    </row>
    <row r="292" spans="1:21" x14ac:dyDescent="0.35">
      <c r="A292" s="5" t="s">
        <v>42</v>
      </c>
      <c r="B292" s="5" t="s">
        <v>400</v>
      </c>
      <c r="C292" t="s">
        <v>72</v>
      </c>
      <c r="D292" t="s">
        <v>485</v>
      </c>
      <c r="E292" t="s">
        <v>23</v>
      </c>
      <c r="F292" t="s">
        <v>66</v>
      </c>
      <c r="G292" s="3">
        <v>40584</v>
      </c>
      <c r="H292">
        <v>669978749</v>
      </c>
      <c r="I292" s="3">
        <v>40622</v>
      </c>
      <c r="J292">
        <v>455</v>
      </c>
      <c r="K292">
        <v>47.45</v>
      </c>
      <c r="L292">
        <v>31.79</v>
      </c>
      <c r="M292">
        <f t="shared" si="36"/>
        <v>21589.75</v>
      </c>
      <c r="N292">
        <f t="shared" si="37"/>
        <v>14464.449999999999</v>
      </c>
      <c r="O292">
        <f t="shared" si="38"/>
        <v>7125.3000000000011</v>
      </c>
      <c r="P292" s="6">
        <f t="shared" si="39"/>
        <v>0.33003161222339311</v>
      </c>
      <c r="Q292">
        <f t="shared" si="40"/>
        <v>38</v>
      </c>
      <c r="R292">
        <f t="shared" si="41"/>
        <v>2011</v>
      </c>
      <c r="S292" t="str">
        <f t="shared" si="42"/>
        <v>February</v>
      </c>
      <c r="T292">
        <f t="shared" si="43"/>
        <v>2</v>
      </c>
      <c r="U292" t="str">
        <f t="shared" si="44"/>
        <v>Low Profit</v>
      </c>
    </row>
    <row r="293" spans="1:21" x14ac:dyDescent="0.35">
      <c r="A293" s="5" t="s">
        <v>37</v>
      </c>
      <c r="B293" s="5" t="s">
        <v>254</v>
      </c>
      <c r="C293" t="s">
        <v>21</v>
      </c>
      <c r="D293" t="s">
        <v>486</v>
      </c>
      <c r="E293" t="s">
        <v>23</v>
      </c>
      <c r="F293" t="s">
        <v>66</v>
      </c>
      <c r="G293" s="3">
        <v>42025</v>
      </c>
      <c r="H293">
        <v>889740073</v>
      </c>
      <c r="I293" s="3">
        <v>42030</v>
      </c>
      <c r="J293">
        <v>2715</v>
      </c>
      <c r="K293">
        <v>437.2</v>
      </c>
      <c r="L293">
        <v>263.33</v>
      </c>
      <c r="M293">
        <f t="shared" si="36"/>
        <v>1186998</v>
      </c>
      <c r="N293">
        <f t="shared" si="37"/>
        <v>714940.95</v>
      </c>
      <c r="O293">
        <f t="shared" si="38"/>
        <v>472057.05000000005</v>
      </c>
      <c r="P293" s="6">
        <f t="shared" si="39"/>
        <v>0.3976898444647759</v>
      </c>
      <c r="Q293">
        <f t="shared" si="40"/>
        <v>5</v>
      </c>
      <c r="R293">
        <f t="shared" si="41"/>
        <v>2015</v>
      </c>
      <c r="S293" t="str">
        <f t="shared" si="42"/>
        <v>January</v>
      </c>
      <c r="T293">
        <f t="shared" si="43"/>
        <v>1</v>
      </c>
      <c r="U293" t="str">
        <f t="shared" si="44"/>
        <v>Medium Profit</v>
      </c>
    </row>
    <row r="294" spans="1:21" x14ac:dyDescent="0.35">
      <c r="A294" s="5" t="s">
        <v>37</v>
      </c>
      <c r="B294" s="5" t="s">
        <v>429</v>
      </c>
      <c r="C294" t="s">
        <v>72</v>
      </c>
      <c r="D294" t="s">
        <v>487</v>
      </c>
      <c r="E294" t="s">
        <v>29</v>
      </c>
      <c r="F294" t="s">
        <v>24</v>
      </c>
      <c r="G294" s="3">
        <v>41039</v>
      </c>
      <c r="H294">
        <v>567614495</v>
      </c>
      <c r="I294" s="3">
        <v>41088</v>
      </c>
      <c r="J294">
        <v>8598</v>
      </c>
      <c r="K294">
        <v>47.45</v>
      </c>
      <c r="L294">
        <v>31.79</v>
      </c>
      <c r="M294">
        <f t="shared" si="36"/>
        <v>407975.10000000003</v>
      </c>
      <c r="N294">
        <f t="shared" si="37"/>
        <v>273330.42</v>
      </c>
      <c r="O294">
        <f t="shared" si="38"/>
        <v>134644.68000000005</v>
      </c>
      <c r="P294" s="6">
        <f t="shared" si="39"/>
        <v>0.33003161222339317</v>
      </c>
      <c r="Q294">
        <f t="shared" si="40"/>
        <v>49</v>
      </c>
      <c r="R294">
        <f t="shared" si="41"/>
        <v>2012</v>
      </c>
      <c r="S294" t="str">
        <f t="shared" si="42"/>
        <v>May</v>
      </c>
      <c r="T294">
        <f t="shared" si="43"/>
        <v>5</v>
      </c>
      <c r="U294" t="str">
        <f t="shared" si="44"/>
        <v>Medium Profit</v>
      </c>
    </row>
    <row r="295" spans="1:21" x14ac:dyDescent="0.35">
      <c r="A295" s="5" t="s">
        <v>19</v>
      </c>
      <c r="B295" s="5" t="s">
        <v>350</v>
      </c>
      <c r="C295" t="s">
        <v>27</v>
      </c>
      <c r="D295" t="s">
        <v>488</v>
      </c>
      <c r="E295" t="s">
        <v>23</v>
      </c>
      <c r="F295" t="s">
        <v>24</v>
      </c>
      <c r="G295" s="3">
        <v>42354</v>
      </c>
      <c r="H295">
        <v>938025844</v>
      </c>
      <c r="I295" s="3">
        <v>42390</v>
      </c>
      <c r="J295">
        <v>1547</v>
      </c>
      <c r="K295">
        <v>154.06</v>
      </c>
      <c r="L295">
        <v>90.93</v>
      </c>
      <c r="M295">
        <f t="shared" si="36"/>
        <v>238330.82</v>
      </c>
      <c r="N295">
        <f t="shared" si="37"/>
        <v>140668.71000000002</v>
      </c>
      <c r="O295">
        <f t="shared" si="38"/>
        <v>97662.109999999986</v>
      </c>
      <c r="P295" s="6">
        <f t="shared" si="39"/>
        <v>0.40977541217707381</v>
      </c>
      <c r="Q295">
        <f t="shared" si="40"/>
        <v>36</v>
      </c>
      <c r="R295">
        <f t="shared" si="41"/>
        <v>2015</v>
      </c>
      <c r="S295" t="str">
        <f t="shared" si="42"/>
        <v>December</v>
      </c>
      <c r="T295">
        <f t="shared" si="43"/>
        <v>12</v>
      </c>
      <c r="U295" t="str">
        <f t="shared" si="44"/>
        <v>Low Profit</v>
      </c>
    </row>
    <row r="296" spans="1:21" x14ac:dyDescent="0.35">
      <c r="A296" s="5" t="s">
        <v>19</v>
      </c>
      <c r="B296" s="5" t="s">
        <v>82</v>
      </c>
      <c r="C296" t="s">
        <v>27</v>
      </c>
      <c r="D296" t="s">
        <v>489</v>
      </c>
      <c r="E296" t="s">
        <v>29</v>
      </c>
      <c r="F296" t="s">
        <v>32</v>
      </c>
      <c r="G296" s="3">
        <v>42791</v>
      </c>
      <c r="H296">
        <v>155710446</v>
      </c>
      <c r="I296" s="3">
        <v>42791</v>
      </c>
      <c r="J296">
        <v>7036</v>
      </c>
      <c r="K296">
        <v>154.06</v>
      </c>
      <c r="L296">
        <v>90.93</v>
      </c>
      <c r="M296">
        <f t="shared" si="36"/>
        <v>1083966.1599999999</v>
      </c>
      <c r="N296">
        <f t="shared" si="37"/>
        <v>639783.4800000001</v>
      </c>
      <c r="O296">
        <f t="shared" si="38"/>
        <v>444182.67999999982</v>
      </c>
      <c r="P296" s="6">
        <f t="shared" si="39"/>
        <v>0.40977541217707375</v>
      </c>
      <c r="Q296">
        <f t="shared" si="40"/>
        <v>0</v>
      </c>
      <c r="R296">
        <f t="shared" si="41"/>
        <v>2017</v>
      </c>
      <c r="S296" t="str">
        <f t="shared" si="42"/>
        <v>February</v>
      </c>
      <c r="T296">
        <f t="shared" si="43"/>
        <v>2</v>
      </c>
      <c r="U296" t="str">
        <f t="shared" si="44"/>
        <v>Medium Profit</v>
      </c>
    </row>
    <row r="297" spans="1:21" x14ac:dyDescent="0.35">
      <c r="A297" s="5" t="s">
        <v>37</v>
      </c>
      <c r="B297" s="5" t="s">
        <v>120</v>
      </c>
      <c r="C297" t="s">
        <v>30</v>
      </c>
      <c r="D297" t="s">
        <v>490</v>
      </c>
      <c r="E297" t="s">
        <v>29</v>
      </c>
      <c r="F297" t="s">
        <v>66</v>
      </c>
      <c r="G297" s="3">
        <v>40939</v>
      </c>
      <c r="H297">
        <v>945717132</v>
      </c>
      <c r="I297" s="3">
        <v>40952</v>
      </c>
      <c r="J297">
        <v>7570</v>
      </c>
      <c r="K297">
        <v>255.28</v>
      </c>
      <c r="L297">
        <v>159.41999999999999</v>
      </c>
      <c r="M297">
        <f t="shared" si="36"/>
        <v>1932469.6</v>
      </c>
      <c r="N297">
        <f t="shared" si="37"/>
        <v>1206809.3999999999</v>
      </c>
      <c r="O297">
        <f t="shared" si="38"/>
        <v>725660.20000000019</v>
      </c>
      <c r="P297" s="6">
        <f t="shared" si="39"/>
        <v>0.37550924475086189</v>
      </c>
      <c r="Q297">
        <f t="shared" si="40"/>
        <v>13</v>
      </c>
      <c r="R297">
        <f t="shared" si="41"/>
        <v>2012</v>
      </c>
      <c r="S297" t="str">
        <f t="shared" si="42"/>
        <v>January</v>
      </c>
      <c r="T297">
        <f t="shared" si="43"/>
        <v>1</v>
      </c>
      <c r="U297" t="str">
        <f t="shared" si="44"/>
        <v>High Profit</v>
      </c>
    </row>
    <row r="298" spans="1:21" x14ac:dyDescent="0.35">
      <c r="A298" s="5" t="s">
        <v>50</v>
      </c>
      <c r="B298" s="5" t="s">
        <v>491</v>
      </c>
      <c r="C298" t="s">
        <v>21</v>
      </c>
      <c r="D298" t="s">
        <v>492</v>
      </c>
      <c r="E298" t="s">
        <v>23</v>
      </c>
      <c r="F298" t="s">
        <v>32</v>
      </c>
      <c r="G298" s="3">
        <v>41312</v>
      </c>
      <c r="H298">
        <v>253407227</v>
      </c>
      <c r="I298" s="3">
        <v>41320</v>
      </c>
      <c r="J298">
        <v>7685</v>
      </c>
      <c r="K298">
        <v>437.2</v>
      </c>
      <c r="L298">
        <v>263.33</v>
      </c>
      <c r="M298">
        <f t="shared" si="36"/>
        <v>3359882</v>
      </c>
      <c r="N298">
        <f t="shared" si="37"/>
        <v>2023691.0499999998</v>
      </c>
      <c r="O298">
        <f t="shared" si="38"/>
        <v>1336190.9500000002</v>
      </c>
      <c r="P298" s="6">
        <f t="shared" si="39"/>
        <v>0.3976898444647759</v>
      </c>
      <c r="Q298">
        <f t="shared" si="40"/>
        <v>8</v>
      </c>
      <c r="R298">
        <f t="shared" si="41"/>
        <v>2013</v>
      </c>
      <c r="S298" t="str">
        <f t="shared" si="42"/>
        <v>February</v>
      </c>
      <c r="T298">
        <f t="shared" si="43"/>
        <v>2</v>
      </c>
      <c r="U298" t="str">
        <f t="shared" si="44"/>
        <v>High Profit</v>
      </c>
    </row>
    <row r="299" spans="1:21" x14ac:dyDescent="0.35">
      <c r="A299" s="5" t="s">
        <v>37</v>
      </c>
      <c r="B299" s="5" t="s">
        <v>254</v>
      </c>
      <c r="C299" t="s">
        <v>60</v>
      </c>
      <c r="D299" t="s">
        <v>493</v>
      </c>
      <c r="E299" t="s">
        <v>23</v>
      </c>
      <c r="F299" t="s">
        <v>41</v>
      </c>
      <c r="G299" s="3">
        <v>41896</v>
      </c>
      <c r="H299">
        <v>494454562</v>
      </c>
      <c r="I299" s="3">
        <v>41904</v>
      </c>
      <c r="J299">
        <v>8948</v>
      </c>
      <c r="K299">
        <v>668.27</v>
      </c>
      <c r="L299">
        <v>502.54</v>
      </c>
      <c r="M299">
        <f t="shared" si="36"/>
        <v>5979679.96</v>
      </c>
      <c r="N299">
        <f t="shared" si="37"/>
        <v>4496727.92</v>
      </c>
      <c r="O299">
        <f t="shared" si="38"/>
        <v>1482952.04</v>
      </c>
      <c r="P299" s="6">
        <f t="shared" si="39"/>
        <v>0.24799856345489099</v>
      </c>
      <c r="Q299">
        <f t="shared" si="40"/>
        <v>8</v>
      </c>
      <c r="R299">
        <f t="shared" si="41"/>
        <v>2014</v>
      </c>
      <c r="S299" t="str">
        <f t="shared" si="42"/>
        <v>September</v>
      </c>
      <c r="T299">
        <f t="shared" si="43"/>
        <v>9</v>
      </c>
      <c r="U299" t="str">
        <f t="shared" si="44"/>
        <v>High Profit</v>
      </c>
    </row>
    <row r="300" spans="1:21" x14ac:dyDescent="0.35">
      <c r="A300" s="5" t="s">
        <v>37</v>
      </c>
      <c r="B300" s="5" t="s">
        <v>100</v>
      </c>
      <c r="C300" t="s">
        <v>35</v>
      </c>
      <c r="D300" t="s">
        <v>494</v>
      </c>
      <c r="E300" t="s">
        <v>29</v>
      </c>
      <c r="F300" t="s">
        <v>24</v>
      </c>
      <c r="G300" s="3">
        <v>41065</v>
      </c>
      <c r="H300">
        <v>104845464</v>
      </c>
      <c r="I300" s="3">
        <v>41114</v>
      </c>
      <c r="J300">
        <v>4957</v>
      </c>
      <c r="K300">
        <v>205.7</v>
      </c>
      <c r="L300">
        <v>117.11</v>
      </c>
      <c r="M300">
        <f t="shared" si="36"/>
        <v>1019654.8999999999</v>
      </c>
      <c r="N300">
        <f t="shared" si="37"/>
        <v>580514.27</v>
      </c>
      <c r="O300">
        <f t="shared" si="38"/>
        <v>439140.62999999989</v>
      </c>
      <c r="P300" s="6">
        <f t="shared" si="39"/>
        <v>0.43067574137092846</v>
      </c>
      <c r="Q300">
        <f t="shared" si="40"/>
        <v>49</v>
      </c>
      <c r="R300">
        <f t="shared" si="41"/>
        <v>2012</v>
      </c>
      <c r="S300" t="str">
        <f t="shared" si="42"/>
        <v>June</v>
      </c>
      <c r="T300">
        <f t="shared" si="43"/>
        <v>6</v>
      </c>
      <c r="U300" t="str">
        <f t="shared" si="44"/>
        <v>Medium Profit</v>
      </c>
    </row>
    <row r="301" spans="1:21" x14ac:dyDescent="0.35">
      <c r="A301" s="5" t="s">
        <v>42</v>
      </c>
      <c r="B301" s="5" t="s">
        <v>312</v>
      </c>
      <c r="C301" t="s">
        <v>21</v>
      </c>
      <c r="D301" t="s">
        <v>495</v>
      </c>
      <c r="E301" t="s">
        <v>29</v>
      </c>
      <c r="F301" t="s">
        <v>24</v>
      </c>
      <c r="G301" s="3">
        <v>41734</v>
      </c>
      <c r="H301">
        <v>290878760</v>
      </c>
      <c r="I301" s="3">
        <v>41736</v>
      </c>
      <c r="J301">
        <v>6344</v>
      </c>
      <c r="K301">
        <v>437.2</v>
      </c>
      <c r="L301">
        <v>263.33</v>
      </c>
      <c r="M301">
        <f t="shared" si="36"/>
        <v>2773596.8</v>
      </c>
      <c r="N301">
        <f t="shared" si="37"/>
        <v>1670565.5199999998</v>
      </c>
      <c r="O301">
        <f t="shared" si="38"/>
        <v>1103031.28</v>
      </c>
      <c r="P301" s="6">
        <f t="shared" si="39"/>
        <v>0.3976898444647759</v>
      </c>
      <c r="Q301">
        <f t="shared" si="40"/>
        <v>2</v>
      </c>
      <c r="R301">
        <f t="shared" si="41"/>
        <v>2014</v>
      </c>
      <c r="S301" t="str">
        <f t="shared" si="42"/>
        <v>April</v>
      </c>
      <c r="T301">
        <f t="shared" si="43"/>
        <v>4</v>
      </c>
      <c r="U301" t="str">
        <f t="shared" si="44"/>
        <v>High Profit</v>
      </c>
    </row>
    <row r="302" spans="1:21" x14ac:dyDescent="0.35">
      <c r="A302" s="5" t="s">
        <v>42</v>
      </c>
      <c r="B302" s="5" t="s">
        <v>166</v>
      </c>
      <c r="C302" t="s">
        <v>69</v>
      </c>
      <c r="D302" t="s">
        <v>496</v>
      </c>
      <c r="E302" t="s">
        <v>23</v>
      </c>
      <c r="F302" t="s">
        <v>32</v>
      </c>
      <c r="G302" s="3">
        <v>41672</v>
      </c>
      <c r="H302">
        <v>979165780</v>
      </c>
      <c r="I302" s="3">
        <v>41680</v>
      </c>
      <c r="J302">
        <v>5768</v>
      </c>
      <c r="K302">
        <v>651.21</v>
      </c>
      <c r="L302">
        <v>524.96</v>
      </c>
      <c r="M302">
        <f t="shared" si="36"/>
        <v>3756179.2800000003</v>
      </c>
      <c r="N302">
        <f t="shared" si="37"/>
        <v>3027969.2800000003</v>
      </c>
      <c r="O302">
        <f t="shared" si="38"/>
        <v>728210</v>
      </c>
      <c r="P302" s="6">
        <f t="shared" si="39"/>
        <v>0.19386987300563566</v>
      </c>
      <c r="Q302">
        <f t="shared" si="40"/>
        <v>8</v>
      </c>
      <c r="R302">
        <f t="shared" si="41"/>
        <v>2014</v>
      </c>
      <c r="S302" t="str">
        <f t="shared" si="42"/>
        <v>February</v>
      </c>
      <c r="T302">
        <f t="shared" si="43"/>
        <v>2</v>
      </c>
      <c r="U302" t="str">
        <f t="shared" si="44"/>
        <v>High Profit</v>
      </c>
    </row>
    <row r="303" spans="1:21" x14ac:dyDescent="0.35">
      <c r="A303" s="5" t="s">
        <v>33</v>
      </c>
      <c r="B303" s="5" t="s">
        <v>497</v>
      </c>
      <c r="C303" t="s">
        <v>69</v>
      </c>
      <c r="D303" t="s">
        <v>498</v>
      </c>
      <c r="E303" t="s">
        <v>23</v>
      </c>
      <c r="F303" t="s">
        <v>32</v>
      </c>
      <c r="G303" s="3">
        <v>40422</v>
      </c>
      <c r="H303">
        <v>366630351</v>
      </c>
      <c r="I303" s="3">
        <v>40463</v>
      </c>
      <c r="J303">
        <v>2923</v>
      </c>
      <c r="K303">
        <v>651.21</v>
      </c>
      <c r="L303">
        <v>524.96</v>
      </c>
      <c r="M303">
        <f t="shared" si="36"/>
        <v>1903486.83</v>
      </c>
      <c r="N303">
        <f t="shared" si="37"/>
        <v>1534458.08</v>
      </c>
      <c r="O303">
        <f t="shared" si="38"/>
        <v>369028.75</v>
      </c>
      <c r="P303" s="6">
        <f t="shared" si="39"/>
        <v>0.19386987300563566</v>
      </c>
      <c r="Q303">
        <f t="shared" si="40"/>
        <v>41</v>
      </c>
      <c r="R303">
        <f t="shared" si="41"/>
        <v>2010</v>
      </c>
      <c r="S303" t="str">
        <f t="shared" si="42"/>
        <v>September</v>
      </c>
      <c r="T303">
        <f t="shared" si="43"/>
        <v>9</v>
      </c>
      <c r="U303" t="str">
        <f t="shared" si="44"/>
        <v>Medium Profit</v>
      </c>
    </row>
    <row r="304" spans="1:21" x14ac:dyDescent="0.35">
      <c r="A304" s="5" t="s">
        <v>42</v>
      </c>
      <c r="B304" s="5" t="s">
        <v>150</v>
      </c>
      <c r="C304" t="s">
        <v>69</v>
      </c>
      <c r="D304" t="s">
        <v>499</v>
      </c>
      <c r="E304" t="s">
        <v>29</v>
      </c>
      <c r="F304" t="s">
        <v>32</v>
      </c>
      <c r="G304" s="3">
        <v>40680</v>
      </c>
      <c r="H304">
        <v>770508801</v>
      </c>
      <c r="I304" s="3">
        <v>40719</v>
      </c>
      <c r="J304">
        <v>9532</v>
      </c>
      <c r="K304">
        <v>651.21</v>
      </c>
      <c r="L304">
        <v>524.96</v>
      </c>
      <c r="M304">
        <f t="shared" si="36"/>
        <v>6207333.7200000007</v>
      </c>
      <c r="N304">
        <f t="shared" si="37"/>
        <v>5003918.7200000007</v>
      </c>
      <c r="O304">
        <f t="shared" si="38"/>
        <v>1203415</v>
      </c>
      <c r="P304" s="6">
        <f t="shared" si="39"/>
        <v>0.19386987300563563</v>
      </c>
      <c r="Q304">
        <f t="shared" si="40"/>
        <v>39</v>
      </c>
      <c r="R304">
        <f t="shared" si="41"/>
        <v>2011</v>
      </c>
      <c r="S304" t="str">
        <f t="shared" si="42"/>
        <v>May</v>
      </c>
      <c r="T304">
        <f t="shared" si="43"/>
        <v>5</v>
      </c>
      <c r="U304" t="str">
        <f t="shared" si="44"/>
        <v>High Profit</v>
      </c>
    </row>
    <row r="305" spans="1:21" x14ac:dyDescent="0.35">
      <c r="A305" s="5" t="s">
        <v>42</v>
      </c>
      <c r="B305" s="5" t="s">
        <v>390</v>
      </c>
      <c r="C305" t="s">
        <v>72</v>
      </c>
      <c r="D305" t="s">
        <v>500</v>
      </c>
      <c r="E305" t="s">
        <v>23</v>
      </c>
      <c r="F305" t="s">
        <v>24</v>
      </c>
      <c r="G305" s="3">
        <v>41385</v>
      </c>
      <c r="H305">
        <v>978349959</v>
      </c>
      <c r="I305" s="3">
        <v>41415</v>
      </c>
      <c r="J305">
        <v>4349</v>
      </c>
      <c r="K305">
        <v>47.45</v>
      </c>
      <c r="L305">
        <v>31.79</v>
      </c>
      <c r="M305">
        <f t="shared" si="36"/>
        <v>206360.05000000002</v>
      </c>
      <c r="N305">
        <f t="shared" si="37"/>
        <v>138254.71</v>
      </c>
      <c r="O305">
        <f t="shared" si="38"/>
        <v>68105.340000000026</v>
      </c>
      <c r="P305" s="6">
        <f t="shared" si="39"/>
        <v>0.33003161222339317</v>
      </c>
      <c r="Q305">
        <f t="shared" si="40"/>
        <v>30</v>
      </c>
      <c r="R305">
        <f t="shared" si="41"/>
        <v>2013</v>
      </c>
      <c r="S305" t="str">
        <f t="shared" si="42"/>
        <v>April</v>
      </c>
      <c r="T305">
        <f t="shared" si="43"/>
        <v>4</v>
      </c>
      <c r="U305" t="str">
        <f t="shared" si="44"/>
        <v>Low Profit</v>
      </c>
    </row>
    <row r="306" spans="1:21" x14ac:dyDescent="0.35">
      <c r="A306" s="5" t="s">
        <v>42</v>
      </c>
      <c r="B306" s="5" t="s">
        <v>405</v>
      </c>
      <c r="C306" t="s">
        <v>72</v>
      </c>
      <c r="D306" t="s">
        <v>501</v>
      </c>
      <c r="E306" t="s">
        <v>23</v>
      </c>
      <c r="F306" t="s">
        <v>66</v>
      </c>
      <c r="G306" s="3">
        <v>41861</v>
      </c>
      <c r="H306">
        <v>298015153</v>
      </c>
      <c r="I306" s="3">
        <v>41865</v>
      </c>
      <c r="J306">
        <v>8161</v>
      </c>
      <c r="K306">
        <v>47.45</v>
      </c>
      <c r="L306">
        <v>31.79</v>
      </c>
      <c r="M306">
        <f t="shared" si="36"/>
        <v>387239.45</v>
      </c>
      <c r="N306">
        <f t="shared" si="37"/>
        <v>259438.19</v>
      </c>
      <c r="O306">
        <f t="shared" si="38"/>
        <v>127801.26000000001</v>
      </c>
      <c r="P306" s="6">
        <f t="shared" si="39"/>
        <v>0.33003161222339306</v>
      </c>
      <c r="Q306">
        <f t="shared" si="40"/>
        <v>4</v>
      </c>
      <c r="R306">
        <f t="shared" si="41"/>
        <v>2014</v>
      </c>
      <c r="S306" t="str">
        <f t="shared" si="42"/>
        <v>August</v>
      </c>
      <c r="T306">
        <f t="shared" si="43"/>
        <v>8</v>
      </c>
      <c r="U306" t="str">
        <f t="shared" si="44"/>
        <v>Medium Profit</v>
      </c>
    </row>
    <row r="307" spans="1:21" x14ac:dyDescent="0.35">
      <c r="A307" s="5" t="s">
        <v>42</v>
      </c>
      <c r="B307" s="5" t="s">
        <v>198</v>
      </c>
      <c r="C307" t="s">
        <v>58</v>
      </c>
      <c r="D307" t="s">
        <v>502</v>
      </c>
      <c r="E307" t="s">
        <v>29</v>
      </c>
      <c r="F307" t="s">
        <v>24</v>
      </c>
      <c r="G307" s="3">
        <v>40440</v>
      </c>
      <c r="H307">
        <v>807678210</v>
      </c>
      <c r="I307" s="3">
        <v>40481</v>
      </c>
      <c r="J307">
        <v>8786</v>
      </c>
      <c r="K307">
        <v>152.58000000000001</v>
      </c>
      <c r="L307">
        <v>97.44</v>
      </c>
      <c r="M307">
        <f t="shared" si="36"/>
        <v>1340567.8800000001</v>
      </c>
      <c r="N307">
        <f t="shared" si="37"/>
        <v>856107.84</v>
      </c>
      <c r="O307">
        <f t="shared" si="38"/>
        <v>484460.04000000015</v>
      </c>
      <c r="P307" s="6">
        <f t="shared" si="39"/>
        <v>0.36138419189933157</v>
      </c>
      <c r="Q307">
        <f t="shared" si="40"/>
        <v>41</v>
      </c>
      <c r="R307">
        <f t="shared" si="41"/>
        <v>2010</v>
      </c>
      <c r="S307" t="str">
        <f t="shared" si="42"/>
        <v>September</v>
      </c>
      <c r="T307">
        <f t="shared" si="43"/>
        <v>9</v>
      </c>
      <c r="U307" t="str">
        <f t="shared" si="44"/>
        <v>Medium Profit</v>
      </c>
    </row>
    <row r="308" spans="1:21" x14ac:dyDescent="0.35">
      <c r="A308" s="5" t="s">
        <v>53</v>
      </c>
      <c r="B308" s="5" t="s">
        <v>245</v>
      </c>
      <c r="C308" t="s">
        <v>83</v>
      </c>
      <c r="D308" t="s">
        <v>503</v>
      </c>
      <c r="E308" t="s">
        <v>23</v>
      </c>
      <c r="F308" t="s">
        <v>32</v>
      </c>
      <c r="G308" s="3">
        <v>41377</v>
      </c>
      <c r="H308">
        <v>605825459</v>
      </c>
      <c r="I308" s="3">
        <v>41408</v>
      </c>
      <c r="J308">
        <v>6071</v>
      </c>
      <c r="K308">
        <v>81.73</v>
      </c>
      <c r="L308">
        <v>56.67</v>
      </c>
      <c r="M308">
        <f t="shared" si="36"/>
        <v>496182.83</v>
      </c>
      <c r="N308">
        <f t="shared" si="37"/>
        <v>344043.57</v>
      </c>
      <c r="O308">
        <f t="shared" si="38"/>
        <v>152139.26</v>
      </c>
      <c r="P308" s="6">
        <f t="shared" si="39"/>
        <v>0.30661935641747218</v>
      </c>
      <c r="Q308">
        <f t="shared" si="40"/>
        <v>31</v>
      </c>
      <c r="R308">
        <f t="shared" si="41"/>
        <v>2013</v>
      </c>
      <c r="S308" t="str">
        <f t="shared" si="42"/>
        <v>April</v>
      </c>
      <c r="T308">
        <f t="shared" si="43"/>
        <v>4</v>
      </c>
      <c r="U308" t="str">
        <f t="shared" si="44"/>
        <v>Medium Profit</v>
      </c>
    </row>
    <row r="309" spans="1:21" x14ac:dyDescent="0.35">
      <c r="A309" s="5" t="s">
        <v>37</v>
      </c>
      <c r="B309" s="5" t="s">
        <v>62</v>
      </c>
      <c r="C309" t="s">
        <v>39</v>
      </c>
      <c r="D309" t="s">
        <v>504</v>
      </c>
      <c r="E309" t="s">
        <v>29</v>
      </c>
      <c r="F309" t="s">
        <v>32</v>
      </c>
      <c r="G309" s="3">
        <v>42397</v>
      </c>
      <c r="H309">
        <v>561255729</v>
      </c>
      <c r="I309" s="3">
        <v>42401</v>
      </c>
      <c r="J309">
        <v>6897</v>
      </c>
      <c r="K309">
        <v>9.33</v>
      </c>
      <c r="L309">
        <v>6.92</v>
      </c>
      <c r="M309">
        <f t="shared" si="36"/>
        <v>64349.01</v>
      </c>
      <c r="N309">
        <f t="shared" si="37"/>
        <v>47727.24</v>
      </c>
      <c r="O309">
        <f t="shared" si="38"/>
        <v>16621.770000000004</v>
      </c>
      <c r="P309" s="6">
        <f t="shared" si="39"/>
        <v>0.25830653804930337</v>
      </c>
      <c r="Q309">
        <f t="shared" si="40"/>
        <v>4</v>
      </c>
      <c r="R309">
        <f t="shared" si="41"/>
        <v>2016</v>
      </c>
      <c r="S309" t="str">
        <f t="shared" si="42"/>
        <v>January</v>
      </c>
      <c r="T309">
        <f t="shared" si="43"/>
        <v>1</v>
      </c>
      <c r="U309" t="str">
        <f t="shared" si="44"/>
        <v>Low Profit</v>
      </c>
    </row>
    <row r="310" spans="1:21" x14ac:dyDescent="0.35">
      <c r="A310" s="5" t="s">
        <v>50</v>
      </c>
      <c r="B310" s="5" t="s">
        <v>456</v>
      </c>
      <c r="C310" t="s">
        <v>48</v>
      </c>
      <c r="D310" t="s">
        <v>505</v>
      </c>
      <c r="E310" t="s">
        <v>29</v>
      </c>
      <c r="F310" t="s">
        <v>41</v>
      </c>
      <c r="G310" s="3">
        <v>41617</v>
      </c>
      <c r="H310">
        <v>263080346</v>
      </c>
      <c r="I310" s="3">
        <v>41622</v>
      </c>
      <c r="J310">
        <v>175</v>
      </c>
      <c r="K310">
        <v>109.28</v>
      </c>
      <c r="L310">
        <v>35.840000000000003</v>
      </c>
      <c r="M310">
        <f t="shared" si="36"/>
        <v>19124</v>
      </c>
      <c r="N310">
        <f t="shared" si="37"/>
        <v>6272.0000000000009</v>
      </c>
      <c r="O310">
        <f t="shared" si="38"/>
        <v>12852</v>
      </c>
      <c r="P310" s="6">
        <f t="shared" si="39"/>
        <v>0.67203513909224011</v>
      </c>
      <c r="Q310">
        <f t="shared" si="40"/>
        <v>5</v>
      </c>
      <c r="R310">
        <f t="shared" si="41"/>
        <v>2013</v>
      </c>
      <c r="S310" t="str">
        <f t="shared" si="42"/>
        <v>December</v>
      </c>
      <c r="T310">
        <f t="shared" si="43"/>
        <v>12</v>
      </c>
      <c r="U310" t="str">
        <f t="shared" si="44"/>
        <v>Low Profit</v>
      </c>
    </row>
    <row r="311" spans="1:21" x14ac:dyDescent="0.35">
      <c r="A311" s="5" t="s">
        <v>37</v>
      </c>
      <c r="B311" s="5" t="s">
        <v>157</v>
      </c>
      <c r="C311" t="s">
        <v>35</v>
      </c>
      <c r="D311" t="s">
        <v>506</v>
      </c>
      <c r="E311" t="s">
        <v>23</v>
      </c>
      <c r="F311" t="s">
        <v>32</v>
      </c>
      <c r="G311" s="3">
        <v>41691</v>
      </c>
      <c r="H311">
        <v>270723140</v>
      </c>
      <c r="I311" s="3">
        <v>41707</v>
      </c>
      <c r="J311">
        <v>1848</v>
      </c>
      <c r="K311">
        <v>205.7</v>
      </c>
      <c r="L311">
        <v>117.11</v>
      </c>
      <c r="M311">
        <f t="shared" si="36"/>
        <v>380133.6</v>
      </c>
      <c r="N311">
        <f t="shared" si="37"/>
        <v>216419.28</v>
      </c>
      <c r="O311">
        <f t="shared" si="38"/>
        <v>163714.31999999998</v>
      </c>
      <c r="P311" s="6">
        <f t="shared" si="39"/>
        <v>0.43067574137092851</v>
      </c>
      <c r="Q311">
        <f t="shared" si="40"/>
        <v>16</v>
      </c>
      <c r="R311">
        <f t="shared" si="41"/>
        <v>2014</v>
      </c>
      <c r="S311" t="str">
        <f t="shared" si="42"/>
        <v>February</v>
      </c>
      <c r="T311">
        <f t="shared" si="43"/>
        <v>2</v>
      </c>
      <c r="U311" t="str">
        <f t="shared" si="44"/>
        <v>Medium Profit</v>
      </c>
    </row>
    <row r="312" spans="1:21" x14ac:dyDescent="0.35">
      <c r="A312" s="5" t="s">
        <v>42</v>
      </c>
      <c r="B312" s="5" t="s">
        <v>400</v>
      </c>
      <c r="C312" t="s">
        <v>48</v>
      </c>
      <c r="D312" t="s">
        <v>507</v>
      </c>
      <c r="E312" t="s">
        <v>23</v>
      </c>
      <c r="F312" t="s">
        <v>41</v>
      </c>
      <c r="G312" s="3">
        <v>42895</v>
      </c>
      <c r="H312">
        <v>763920438</v>
      </c>
      <c r="I312" s="3">
        <v>42926</v>
      </c>
      <c r="J312">
        <v>9888</v>
      </c>
      <c r="K312">
        <v>109.28</v>
      </c>
      <c r="L312">
        <v>35.840000000000003</v>
      </c>
      <c r="M312">
        <f t="shared" si="36"/>
        <v>1080560.6399999999</v>
      </c>
      <c r="N312">
        <f t="shared" si="37"/>
        <v>354385.92000000004</v>
      </c>
      <c r="O312">
        <f t="shared" si="38"/>
        <v>726174.71999999986</v>
      </c>
      <c r="P312" s="6">
        <f t="shared" si="39"/>
        <v>0.67203513909224</v>
      </c>
      <c r="Q312">
        <f t="shared" si="40"/>
        <v>31</v>
      </c>
      <c r="R312">
        <f t="shared" si="41"/>
        <v>2017</v>
      </c>
      <c r="S312" t="str">
        <f t="shared" si="42"/>
        <v>June</v>
      </c>
      <c r="T312">
        <f t="shared" si="43"/>
        <v>6</v>
      </c>
      <c r="U312" t="str">
        <f t="shared" si="44"/>
        <v>High Profit</v>
      </c>
    </row>
    <row r="313" spans="1:21" x14ac:dyDescent="0.35">
      <c r="A313" s="5" t="s">
        <v>25</v>
      </c>
      <c r="B313" s="5" t="s">
        <v>71</v>
      </c>
      <c r="C313" t="s">
        <v>60</v>
      </c>
      <c r="D313" t="s">
        <v>508</v>
      </c>
      <c r="E313" t="s">
        <v>29</v>
      </c>
      <c r="F313" t="s">
        <v>66</v>
      </c>
      <c r="G313" s="3">
        <v>41746</v>
      </c>
      <c r="H313">
        <v>192721068</v>
      </c>
      <c r="I313" s="3">
        <v>41779</v>
      </c>
      <c r="J313">
        <v>9302</v>
      </c>
      <c r="K313">
        <v>668.27</v>
      </c>
      <c r="L313">
        <v>502.54</v>
      </c>
      <c r="M313">
        <f t="shared" si="36"/>
        <v>6216247.54</v>
      </c>
      <c r="N313">
        <f t="shared" si="37"/>
        <v>4674627.08</v>
      </c>
      <c r="O313">
        <f t="shared" si="38"/>
        <v>1541620.46</v>
      </c>
      <c r="P313" s="6">
        <f t="shared" si="39"/>
        <v>0.24799856345489099</v>
      </c>
      <c r="Q313">
        <f t="shared" si="40"/>
        <v>33</v>
      </c>
      <c r="R313">
        <f t="shared" si="41"/>
        <v>2014</v>
      </c>
      <c r="S313" t="str">
        <f t="shared" si="42"/>
        <v>April</v>
      </c>
      <c r="T313">
        <f t="shared" si="43"/>
        <v>4</v>
      </c>
      <c r="U313" t="str">
        <f t="shared" si="44"/>
        <v>High Profit</v>
      </c>
    </row>
    <row r="314" spans="1:21" x14ac:dyDescent="0.35">
      <c r="A314" s="5" t="s">
        <v>53</v>
      </c>
      <c r="B314" s="5" t="s">
        <v>206</v>
      </c>
      <c r="C314" t="s">
        <v>39</v>
      </c>
      <c r="D314" t="s">
        <v>509</v>
      </c>
      <c r="E314" t="s">
        <v>23</v>
      </c>
      <c r="F314" t="s">
        <v>66</v>
      </c>
      <c r="G314" s="3">
        <v>40683</v>
      </c>
      <c r="H314">
        <v>227486360</v>
      </c>
      <c r="I314" s="3">
        <v>40702</v>
      </c>
      <c r="J314">
        <v>7124</v>
      </c>
      <c r="K314">
        <v>9.33</v>
      </c>
      <c r="L314">
        <v>6.92</v>
      </c>
      <c r="M314">
        <f t="shared" si="36"/>
        <v>66466.92</v>
      </c>
      <c r="N314">
        <f t="shared" si="37"/>
        <v>49298.080000000002</v>
      </c>
      <c r="O314">
        <f t="shared" si="38"/>
        <v>17168.839999999997</v>
      </c>
      <c r="P314" s="6">
        <f t="shared" si="39"/>
        <v>0.25830653804930326</v>
      </c>
      <c r="Q314">
        <f t="shared" si="40"/>
        <v>19</v>
      </c>
      <c r="R314">
        <f t="shared" si="41"/>
        <v>2011</v>
      </c>
      <c r="S314" t="str">
        <f t="shared" si="42"/>
        <v>May</v>
      </c>
      <c r="T314">
        <f t="shared" si="43"/>
        <v>5</v>
      </c>
      <c r="U314" t="str">
        <f t="shared" si="44"/>
        <v>Low Profit</v>
      </c>
    </row>
    <row r="315" spans="1:21" x14ac:dyDescent="0.35">
      <c r="A315" s="5" t="s">
        <v>19</v>
      </c>
      <c r="B315" s="5" t="s">
        <v>510</v>
      </c>
      <c r="C315" t="s">
        <v>27</v>
      </c>
      <c r="D315" t="s">
        <v>511</v>
      </c>
      <c r="E315" t="s">
        <v>29</v>
      </c>
      <c r="F315" t="s">
        <v>24</v>
      </c>
      <c r="G315" s="3">
        <v>41149</v>
      </c>
      <c r="H315">
        <v>808890140</v>
      </c>
      <c r="I315" s="3">
        <v>41174</v>
      </c>
      <c r="J315">
        <v>7422</v>
      </c>
      <c r="K315">
        <v>154.06</v>
      </c>
      <c r="L315">
        <v>90.93</v>
      </c>
      <c r="M315">
        <f t="shared" si="36"/>
        <v>1143433.32</v>
      </c>
      <c r="N315">
        <f t="shared" si="37"/>
        <v>674882.46000000008</v>
      </c>
      <c r="O315">
        <f t="shared" si="38"/>
        <v>468550.86</v>
      </c>
      <c r="P315" s="6">
        <f t="shared" si="39"/>
        <v>0.40977541217707381</v>
      </c>
      <c r="Q315">
        <f t="shared" si="40"/>
        <v>25</v>
      </c>
      <c r="R315">
        <f t="shared" si="41"/>
        <v>2012</v>
      </c>
      <c r="S315" t="str">
        <f t="shared" si="42"/>
        <v>August</v>
      </c>
      <c r="T315">
        <f t="shared" si="43"/>
        <v>8</v>
      </c>
      <c r="U315" t="str">
        <f t="shared" si="44"/>
        <v>Medium Profit</v>
      </c>
    </row>
    <row r="316" spans="1:21" x14ac:dyDescent="0.35">
      <c r="A316" s="5" t="s">
        <v>50</v>
      </c>
      <c r="B316" s="5" t="s">
        <v>353</v>
      </c>
      <c r="C316" t="s">
        <v>21</v>
      </c>
      <c r="D316" t="s">
        <v>512</v>
      </c>
      <c r="E316" t="s">
        <v>23</v>
      </c>
      <c r="F316" t="s">
        <v>32</v>
      </c>
      <c r="G316" s="3">
        <v>42210</v>
      </c>
      <c r="H316">
        <v>597918736</v>
      </c>
      <c r="I316" s="3">
        <v>42258</v>
      </c>
      <c r="J316">
        <v>6296</v>
      </c>
      <c r="K316">
        <v>437.2</v>
      </c>
      <c r="L316">
        <v>263.33</v>
      </c>
      <c r="M316">
        <f t="shared" si="36"/>
        <v>2752611.1999999997</v>
      </c>
      <c r="N316">
        <f t="shared" si="37"/>
        <v>1657925.68</v>
      </c>
      <c r="O316">
        <f t="shared" si="38"/>
        <v>1094685.5199999998</v>
      </c>
      <c r="P316" s="6">
        <f t="shared" si="39"/>
        <v>0.39768984446477579</v>
      </c>
      <c r="Q316">
        <f t="shared" si="40"/>
        <v>48</v>
      </c>
      <c r="R316">
        <f t="shared" si="41"/>
        <v>2015</v>
      </c>
      <c r="S316" t="str">
        <f t="shared" si="42"/>
        <v>July</v>
      </c>
      <c r="T316">
        <f t="shared" si="43"/>
        <v>7</v>
      </c>
      <c r="U316" t="str">
        <f t="shared" si="44"/>
        <v>High Profit</v>
      </c>
    </row>
    <row r="317" spans="1:21" x14ac:dyDescent="0.35">
      <c r="A317" s="5" t="s">
        <v>37</v>
      </c>
      <c r="B317" s="5" t="s">
        <v>445</v>
      </c>
      <c r="C317" t="s">
        <v>21</v>
      </c>
      <c r="D317" t="s">
        <v>513</v>
      </c>
      <c r="E317" t="s">
        <v>29</v>
      </c>
      <c r="F317" t="s">
        <v>41</v>
      </c>
      <c r="G317" s="3">
        <v>41939</v>
      </c>
      <c r="H317">
        <v>125870978</v>
      </c>
      <c r="I317" s="3">
        <v>41963</v>
      </c>
      <c r="J317">
        <v>6874</v>
      </c>
      <c r="K317">
        <v>437.2</v>
      </c>
      <c r="L317">
        <v>263.33</v>
      </c>
      <c r="M317">
        <f t="shared" si="36"/>
        <v>3005312.8</v>
      </c>
      <c r="N317">
        <f t="shared" si="37"/>
        <v>1810130.42</v>
      </c>
      <c r="O317">
        <f t="shared" si="38"/>
        <v>1195182.3799999999</v>
      </c>
      <c r="P317" s="6">
        <f t="shared" si="39"/>
        <v>0.39768984446477584</v>
      </c>
      <c r="Q317">
        <f t="shared" si="40"/>
        <v>24</v>
      </c>
      <c r="R317">
        <f t="shared" si="41"/>
        <v>2014</v>
      </c>
      <c r="S317" t="str">
        <f t="shared" si="42"/>
        <v>October</v>
      </c>
      <c r="T317">
        <f t="shared" si="43"/>
        <v>10</v>
      </c>
      <c r="U317" t="str">
        <f t="shared" si="44"/>
        <v>High Profit</v>
      </c>
    </row>
    <row r="318" spans="1:21" x14ac:dyDescent="0.35">
      <c r="A318" s="5" t="s">
        <v>33</v>
      </c>
      <c r="B318" s="5" t="s">
        <v>141</v>
      </c>
      <c r="C318" t="s">
        <v>60</v>
      </c>
      <c r="D318" t="s">
        <v>514</v>
      </c>
      <c r="E318" t="s">
        <v>29</v>
      </c>
      <c r="F318" t="s">
        <v>41</v>
      </c>
      <c r="G318" s="3">
        <v>41565</v>
      </c>
      <c r="H318">
        <v>444358193</v>
      </c>
      <c r="I318" s="3">
        <v>41568</v>
      </c>
      <c r="J318">
        <v>4319</v>
      </c>
      <c r="K318">
        <v>668.27</v>
      </c>
      <c r="L318">
        <v>502.54</v>
      </c>
      <c r="M318">
        <f t="shared" si="36"/>
        <v>2886258.13</v>
      </c>
      <c r="N318">
        <f t="shared" si="37"/>
        <v>2170470.2600000002</v>
      </c>
      <c r="O318">
        <f t="shared" si="38"/>
        <v>715787.86999999965</v>
      </c>
      <c r="P318" s="6">
        <f t="shared" si="39"/>
        <v>0.24799856345489088</v>
      </c>
      <c r="Q318">
        <f t="shared" si="40"/>
        <v>3</v>
      </c>
      <c r="R318">
        <f t="shared" si="41"/>
        <v>2013</v>
      </c>
      <c r="S318" t="str">
        <f t="shared" si="42"/>
        <v>October</v>
      </c>
      <c r="T318">
        <f t="shared" si="43"/>
        <v>10</v>
      </c>
      <c r="U318" t="str">
        <f t="shared" si="44"/>
        <v>High Profit</v>
      </c>
    </row>
    <row r="319" spans="1:21" x14ac:dyDescent="0.35">
      <c r="A319" s="5" t="s">
        <v>37</v>
      </c>
      <c r="B319" s="5" t="s">
        <v>330</v>
      </c>
      <c r="C319" t="s">
        <v>72</v>
      </c>
      <c r="D319" t="s">
        <v>515</v>
      </c>
      <c r="E319" t="s">
        <v>29</v>
      </c>
      <c r="F319" t="s">
        <v>32</v>
      </c>
      <c r="G319" s="3">
        <v>41320</v>
      </c>
      <c r="H319">
        <v>875304210</v>
      </c>
      <c r="I319" s="3">
        <v>41345</v>
      </c>
      <c r="J319">
        <v>822</v>
      </c>
      <c r="K319">
        <v>47.45</v>
      </c>
      <c r="L319">
        <v>31.79</v>
      </c>
      <c r="M319">
        <f t="shared" si="36"/>
        <v>39003.9</v>
      </c>
      <c r="N319">
        <f t="shared" si="37"/>
        <v>26131.38</v>
      </c>
      <c r="O319">
        <f t="shared" si="38"/>
        <v>12872.52</v>
      </c>
      <c r="P319" s="6">
        <f t="shared" si="39"/>
        <v>0.33003161222339306</v>
      </c>
      <c r="Q319">
        <f t="shared" si="40"/>
        <v>25</v>
      </c>
      <c r="R319">
        <f t="shared" si="41"/>
        <v>2013</v>
      </c>
      <c r="S319" t="str">
        <f t="shared" si="42"/>
        <v>February</v>
      </c>
      <c r="T319">
        <f t="shared" si="43"/>
        <v>2</v>
      </c>
      <c r="U319" t="str">
        <f t="shared" si="44"/>
        <v>Low Profit</v>
      </c>
    </row>
    <row r="320" spans="1:21" x14ac:dyDescent="0.35">
      <c r="A320" s="5" t="s">
        <v>25</v>
      </c>
      <c r="B320" s="5" t="s">
        <v>71</v>
      </c>
      <c r="C320" t="s">
        <v>30</v>
      </c>
      <c r="D320" t="s">
        <v>516</v>
      </c>
      <c r="E320" t="s">
        <v>23</v>
      </c>
      <c r="F320" t="s">
        <v>32</v>
      </c>
      <c r="G320" s="3">
        <v>41828</v>
      </c>
      <c r="H320">
        <v>360945355</v>
      </c>
      <c r="I320" s="3">
        <v>41867</v>
      </c>
      <c r="J320">
        <v>607</v>
      </c>
      <c r="K320">
        <v>255.28</v>
      </c>
      <c r="L320">
        <v>159.41999999999999</v>
      </c>
      <c r="M320">
        <f t="shared" si="36"/>
        <v>154954.96</v>
      </c>
      <c r="N320">
        <f t="shared" si="37"/>
        <v>96767.939999999988</v>
      </c>
      <c r="O320">
        <f t="shared" si="38"/>
        <v>58187.020000000004</v>
      </c>
      <c r="P320" s="6">
        <f t="shared" si="39"/>
        <v>0.37550924475086184</v>
      </c>
      <c r="Q320">
        <f t="shared" si="40"/>
        <v>39</v>
      </c>
      <c r="R320">
        <f t="shared" si="41"/>
        <v>2014</v>
      </c>
      <c r="S320" t="str">
        <f t="shared" si="42"/>
        <v>July</v>
      </c>
      <c r="T320">
        <f t="shared" si="43"/>
        <v>7</v>
      </c>
      <c r="U320" t="str">
        <f t="shared" si="44"/>
        <v>Low Profit</v>
      </c>
    </row>
    <row r="321" spans="1:21" x14ac:dyDescent="0.35">
      <c r="A321" s="5" t="s">
        <v>37</v>
      </c>
      <c r="B321" s="5" t="s">
        <v>100</v>
      </c>
      <c r="C321" t="s">
        <v>35</v>
      </c>
      <c r="D321" t="s">
        <v>517</v>
      </c>
      <c r="E321" t="s">
        <v>23</v>
      </c>
      <c r="F321" t="s">
        <v>32</v>
      </c>
      <c r="G321" s="3">
        <v>42716</v>
      </c>
      <c r="H321">
        <v>613830459</v>
      </c>
      <c r="I321" s="3">
        <v>42751</v>
      </c>
      <c r="J321">
        <v>4928</v>
      </c>
      <c r="K321">
        <v>205.7</v>
      </c>
      <c r="L321">
        <v>117.11</v>
      </c>
      <c r="M321">
        <f t="shared" si="36"/>
        <v>1013689.6</v>
      </c>
      <c r="N321">
        <f t="shared" si="37"/>
        <v>577118.07999999996</v>
      </c>
      <c r="O321">
        <f t="shared" si="38"/>
        <v>436571.52</v>
      </c>
      <c r="P321" s="6">
        <f t="shared" si="39"/>
        <v>0.43067574137092857</v>
      </c>
      <c r="Q321">
        <f t="shared" si="40"/>
        <v>35</v>
      </c>
      <c r="R321">
        <f t="shared" si="41"/>
        <v>2016</v>
      </c>
      <c r="S321" t="str">
        <f t="shared" si="42"/>
        <v>December</v>
      </c>
      <c r="T321">
        <f t="shared" si="43"/>
        <v>12</v>
      </c>
      <c r="U321" t="str">
        <f t="shared" si="44"/>
        <v>Medium Profit</v>
      </c>
    </row>
    <row r="322" spans="1:21" x14ac:dyDescent="0.35">
      <c r="A322" s="5" t="s">
        <v>19</v>
      </c>
      <c r="B322" s="5" t="s">
        <v>452</v>
      </c>
      <c r="C322" t="s">
        <v>35</v>
      </c>
      <c r="D322" t="s">
        <v>518</v>
      </c>
      <c r="E322" t="s">
        <v>23</v>
      </c>
      <c r="F322" t="s">
        <v>41</v>
      </c>
      <c r="G322" s="3">
        <v>41237</v>
      </c>
      <c r="H322">
        <v>266820847</v>
      </c>
      <c r="I322" s="3">
        <v>41253</v>
      </c>
      <c r="J322">
        <v>7073</v>
      </c>
      <c r="K322">
        <v>205.7</v>
      </c>
      <c r="L322">
        <v>117.11</v>
      </c>
      <c r="M322">
        <f t="shared" si="36"/>
        <v>1454916.0999999999</v>
      </c>
      <c r="N322">
        <f t="shared" si="37"/>
        <v>828319.03</v>
      </c>
      <c r="O322">
        <f t="shared" si="38"/>
        <v>626597.06999999983</v>
      </c>
      <c r="P322" s="6">
        <f t="shared" si="39"/>
        <v>0.43067574137092846</v>
      </c>
      <c r="Q322">
        <f t="shared" si="40"/>
        <v>16</v>
      </c>
      <c r="R322">
        <f t="shared" si="41"/>
        <v>2012</v>
      </c>
      <c r="S322" t="str">
        <f t="shared" si="42"/>
        <v>November</v>
      </c>
      <c r="T322">
        <f t="shared" si="43"/>
        <v>11</v>
      </c>
      <c r="U322" t="str">
        <f t="shared" si="44"/>
        <v>High Profit</v>
      </c>
    </row>
    <row r="323" spans="1:21" x14ac:dyDescent="0.35">
      <c r="A323" s="5" t="s">
        <v>37</v>
      </c>
      <c r="B323" s="5" t="s">
        <v>193</v>
      </c>
      <c r="C323" t="s">
        <v>30</v>
      </c>
      <c r="D323" t="s">
        <v>519</v>
      </c>
      <c r="E323" t="s">
        <v>23</v>
      </c>
      <c r="F323" t="s">
        <v>24</v>
      </c>
      <c r="G323" s="3">
        <v>41946</v>
      </c>
      <c r="H323">
        <v>723090350</v>
      </c>
      <c r="I323" s="3">
        <v>41970</v>
      </c>
      <c r="J323">
        <v>7358</v>
      </c>
      <c r="K323">
        <v>255.28</v>
      </c>
      <c r="L323">
        <v>159.41999999999999</v>
      </c>
      <c r="M323">
        <f t="shared" ref="M323:M386" si="45">J323*K323</f>
        <v>1878350.24</v>
      </c>
      <c r="N323">
        <f t="shared" ref="N323:N386" si="46">J323*L323</f>
        <v>1173012.3599999999</v>
      </c>
      <c r="O323">
        <f t="shared" ref="O323:O386" si="47">M323-N323</f>
        <v>705337.88000000012</v>
      </c>
      <c r="P323" s="6">
        <f t="shared" ref="P323:P386" si="48">O323/M323</f>
        <v>0.37550924475086189</v>
      </c>
      <c r="Q323">
        <f t="shared" ref="Q323:Q386" si="49">I323-G323</f>
        <v>24</v>
      </c>
      <c r="R323">
        <f t="shared" ref="R323:R386" si="50">YEAR(G323)</f>
        <v>2014</v>
      </c>
      <c r="S323" t="str">
        <f t="shared" ref="S323:S386" si="51">TEXT(G323,"mmmm")</f>
        <v>November</v>
      </c>
      <c r="T323">
        <f t="shared" ref="T323:T386" si="52">MONTH(G323)</f>
        <v>11</v>
      </c>
      <c r="U323" t="str">
        <f t="shared" ref="U323:U386" si="53">IF(O323&gt;=500000,"High Profit",
IF(O323&gt;=100000,"Medium Profit","Low Profit"))</f>
        <v>High Profit</v>
      </c>
    </row>
    <row r="324" spans="1:21" x14ac:dyDescent="0.35">
      <c r="A324" s="5" t="s">
        <v>37</v>
      </c>
      <c r="B324" s="5" t="s">
        <v>520</v>
      </c>
      <c r="C324" t="s">
        <v>92</v>
      </c>
      <c r="D324" t="s">
        <v>521</v>
      </c>
      <c r="E324" t="s">
        <v>23</v>
      </c>
      <c r="F324" t="s">
        <v>24</v>
      </c>
      <c r="G324" s="3">
        <v>41489</v>
      </c>
      <c r="H324">
        <v>306125295</v>
      </c>
      <c r="I324" s="3">
        <v>41501</v>
      </c>
      <c r="J324">
        <v>8132</v>
      </c>
      <c r="K324">
        <v>421.89</v>
      </c>
      <c r="L324">
        <v>364.69</v>
      </c>
      <c r="M324">
        <f t="shared" si="45"/>
        <v>3430809.48</v>
      </c>
      <c r="N324">
        <f t="shared" si="46"/>
        <v>2965659.08</v>
      </c>
      <c r="O324">
        <f t="shared" si="47"/>
        <v>465150.39999999991</v>
      </c>
      <c r="P324" s="6">
        <f t="shared" si="48"/>
        <v>0.13558036455000116</v>
      </c>
      <c r="Q324">
        <f t="shared" si="49"/>
        <v>12</v>
      </c>
      <c r="R324">
        <f t="shared" si="50"/>
        <v>2013</v>
      </c>
      <c r="S324" t="str">
        <f t="shared" si="51"/>
        <v>August</v>
      </c>
      <c r="T324">
        <f t="shared" si="52"/>
        <v>8</v>
      </c>
      <c r="U324" t="str">
        <f t="shared" si="53"/>
        <v>Medium Profit</v>
      </c>
    </row>
    <row r="325" spans="1:21" x14ac:dyDescent="0.35">
      <c r="A325" s="5" t="s">
        <v>53</v>
      </c>
      <c r="B325" s="5" t="s">
        <v>522</v>
      </c>
      <c r="C325" t="s">
        <v>83</v>
      </c>
      <c r="D325" t="s">
        <v>523</v>
      </c>
      <c r="E325" t="s">
        <v>29</v>
      </c>
      <c r="F325" t="s">
        <v>66</v>
      </c>
      <c r="G325" s="3">
        <v>41052</v>
      </c>
      <c r="H325">
        <v>109724509</v>
      </c>
      <c r="I325" s="3">
        <v>41076</v>
      </c>
      <c r="J325">
        <v>8775</v>
      </c>
      <c r="K325">
        <v>81.73</v>
      </c>
      <c r="L325">
        <v>56.67</v>
      </c>
      <c r="M325">
        <f t="shared" si="45"/>
        <v>717180.75</v>
      </c>
      <c r="N325">
        <f t="shared" si="46"/>
        <v>497279.25</v>
      </c>
      <c r="O325">
        <f t="shared" si="47"/>
        <v>219901.5</v>
      </c>
      <c r="P325" s="6">
        <f t="shared" si="48"/>
        <v>0.30661935641747218</v>
      </c>
      <c r="Q325">
        <f t="shared" si="49"/>
        <v>24</v>
      </c>
      <c r="R325">
        <f t="shared" si="50"/>
        <v>2012</v>
      </c>
      <c r="S325" t="str">
        <f t="shared" si="51"/>
        <v>May</v>
      </c>
      <c r="T325">
        <f t="shared" si="52"/>
        <v>5</v>
      </c>
      <c r="U325" t="str">
        <f t="shared" si="53"/>
        <v>Medium Profit</v>
      </c>
    </row>
    <row r="326" spans="1:21" x14ac:dyDescent="0.35">
      <c r="A326" s="5" t="s">
        <v>53</v>
      </c>
      <c r="B326" s="5" t="s">
        <v>524</v>
      </c>
      <c r="C326" t="s">
        <v>48</v>
      </c>
      <c r="D326" t="s">
        <v>525</v>
      </c>
      <c r="E326" t="s">
        <v>23</v>
      </c>
      <c r="F326" t="s">
        <v>24</v>
      </c>
      <c r="G326" s="3">
        <v>42207</v>
      </c>
      <c r="H326">
        <v>847999322</v>
      </c>
      <c r="I326" s="3">
        <v>42222</v>
      </c>
      <c r="J326">
        <v>699</v>
      </c>
      <c r="K326">
        <v>109.28</v>
      </c>
      <c r="L326">
        <v>35.840000000000003</v>
      </c>
      <c r="M326">
        <f t="shared" si="45"/>
        <v>76386.720000000001</v>
      </c>
      <c r="N326">
        <f t="shared" si="46"/>
        <v>25052.160000000003</v>
      </c>
      <c r="O326">
        <f t="shared" si="47"/>
        <v>51334.559999999998</v>
      </c>
      <c r="P326" s="6">
        <f t="shared" si="48"/>
        <v>0.67203513909224011</v>
      </c>
      <c r="Q326">
        <f t="shared" si="49"/>
        <v>15</v>
      </c>
      <c r="R326">
        <f t="shared" si="50"/>
        <v>2015</v>
      </c>
      <c r="S326" t="str">
        <f t="shared" si="51"/>
        <v>July</v>
      </c>
      <c r="T326">
        <f t="shared" si="52"/>
        <v>7</v>
      </c>
      <c r="U326" t="str">
        <f t="shared" si="53"/>
        <v>Low Profit</v>
      </c>
    </row>
    <row r="327" spans="1:21" x14ac:dyDescent="0.35">
      <c r="A327" s="5" t="s">
        <v>53</v>
      </c>
      <c r="B327" s="5" t="s">
        <v>54</v>
      </c>
      <c r="C327" t="s">
        <v>48</v>
      </c>
      <c r="D327" t="s">
        <v>526</v>
      </c>
      <c r="E327" t="s">
        <v>29</v>
      </c>
      <c r="F327" t="s">
        <v>41</v>
      </c>
      <c r="G327" s="3">
        <v>42767</v>
      </c>
      <c r="H327">
        <v>605373561</v>
      </c>
      <c r="I327" s="3">
        <v>42796</v>
      </c>
      <c r="J327">
        <v>2344</v>
      </c>
      <c r="K327">
        <v>109.28</v>
      </c>
      <c r="L327">
        <v>35.840000000000003</v>
      </c>
      <c r="M327">
        <f t="shared" si="45"/>
        <v>256152.32000000001</v>
      </c>
      <c r="N327">
        <f t="shared" si="46"/>
        <v>84008.960000000006</v>
      </c>
      <c r="O327">
        <f t="shared" si="47"/>
        <v>172143.35999999999</v>
      </c>
      <c r="P327" s="6">
        <f t="shared" si="48"/>
        <v>0.67203513909224</v>
      </c>
      <c r="Q327">
        <f t="shared" si="49"/>
        <v>29</v>
      </c>
      <c r="R327">
        <f t="shared" si="50"/>
        <v>2017</v>
      </c>
      <c r="S327" t="str">
        <f t="shared" si="51"/>
        <v>February</v>
      </c>
      <c r="T327">
        <f t="shared" si="52"/>
        <v>2</v>
      </c>
      <c r="U327" t="str">
        <f t="shared" si="53"/>
        <v>Medium Profit</v>
      </c>
    </row>
    <row r="328" spans="1:21" x14ac:dyDescent="0.35">
      <c r="A328" s="5" t="s">
        <v>37</v>
      </c>
      <c r="B328" s="5" t="s">
        <v>225</v>
      </c>
      <c r="C328" t="s">
        <v>72</v>
      </c>
      <c r="D328" t="s">
        <v>527</v>
      </c>
      <c r="E328" t="s">
        <v>29</v>
      </c>
      <c r="F328" t="s">
        <v>41</v>
      </c>
      <c r="G328" s="3">
        <v>40936</v>
      </c>
      <c r="H328">
        <v>686583554</v>
      </c>
      <c r="I328" s="3">
        <v>40961</v>
      </c>
      <c r="J328">
        <v>4186</v>
      </c>
      <c r="K328">
        <v>47.45</v>
      </c>
      <c r="L328">
        <v>31.79</v>
      </c>
      <c r="M328">
        <f t="shared" si="45"/>
        <v>198625.7</v>
      </c>
      <c r="N328">
        <f t="shared" si="46"/>
        <v>133072.94</v>
      </c>
      <c r="O328">
        <f t="shared" si="47"/>
        <v>65552.760000000009</v>
      </c>
      <c r="P328" s="6">
        <f t="shared" si="48"/>
        <v>0.33003161222339306</v>
      </c>
      <c r="Q328">
        <f t="shared" si="49"/>
        <v>25</v>
      </c>
      <c r="R328">
        <f t="shared" si="50"/>
        <v>2012</v>
      </c>
      <c r="S328" t="str">
        <f t="shared" si="51"/>
        <v>January</v>
      </c>
      <c r="T328">
        <f t="shared" si="52"/>
        <v>1</v>
      </c>
      <c r="U328" t="str">
        <f t="shared" si="53"/>
        <v>Low Profit</v>
      </c>
    </row>
    <row r="329" spans="1:21" x14ac:dyDescent="0.35">
      <c r="A329" s="5" t="s">
        <v>53</v>
      </c>
      <c r="B329" s="5" t="s">
        <v>245</v>
      </c>
      <c r="C329" t="s">
        <v>72</v>
      </c>
      <c r="D329" t="s">
        <v>528</v>
      </c>
      <c r="E329" t="s">
        <v>23</v>
      </c>
      <c r="F329" t="s">
        <v>24</v>
      </c>
      <c r="G329" s="3">
        <v>42219</v>
      </c>
      <c r="H329">
        <v>666678130</v>
      </c>
      <c r="I329" s="3">
        <v>42268</v>
      </c>
      <c r="J329">
        <v>3729</v>
      </c>
      <c r="K329">
        <v>47.45</v>
      </c>
      <c r="L329">
        <v>31.79</v>
      </c>
      <c r="M329">
        <f t="shared" si="45"/>
        <v>176941.05000000002</v>
      </c>
      <c r="N329">
        <f t="shared" si="46"/>
        <v>118544.91</v>
      </c>
      <c r="O329">
        <f t="shared" si="47"/>
        <v>58396.140000000014</v>
      </c>
      <c r="P329" s="6">
        <f t="shared" si="48"/>
        <v>0.33003161222339311</v>
      </c>
      <c r="Q329">
        <f t="shared" si="49"/>
        <v>49</v>
      </c>
      <c r="R329">
        <f t="shared" si="50"/>
        <v>2015</v>
      </c>
      <c r="S329" t="str">
        <f t="shared" si="51"/>
        <v>August</v>
      </c>
      <c r="T329">
        <f t="shared" si="52"/>
        <v>8</v>
      </c>
      <c r="U329" t="str">
        <f t="shared" si="53"/>
        <v>Low Profit</v>
      </c>
    </row>
    <row r="330" spans="1:21" x14ac:dyDescent="0.35">
      <c r="A330" s="5" t="s">
        <v>50</v>
      </c>
      <c r="B330" s="5" t="s">
        <v>87</v>
      </c>
      <c r="C330" t="s">
        <v>30</v>
      </c>
      <c r="D330" t="s">
        <v>529</v>
      </c>
      <c r="E330" t="s">
        <v>29</v>
      </c>
      <c r="F330" t="s">
        <v>24</v>
      </c>
      <c r="G330" s="3">
        <v>41448</v>
      </c>
      <c r="H330">
        <v>641018617</v>
      </c>
      <c r="I330" s="3">
        <v>41455</v>
      </c>
      <c r="J330">
        <v>508</v>
      </c>
      <c r="K330">
        <v>255.28</v>
      </c>
      <c r="L330">
        <v>159.41999999999999</v>
      </c>
      <c r="M330">
        <f t="shared" si="45"/>
        <v>129682.24000000001</v>
      </c>
      <c r="N330">
        <f t="shared" si="46"/>
        <v>80985.36</v>
      </c>
      <c r="O330">
        <f t="shared" si="47"/>
        <v>48696.880000000005</v>
      </c>
      <c r="P330" s="6">
        <f t="shared" si="48"/>
        <v>0.37550924475086184</v>
      </c>
      <c r="Q330">
        <f t="shared" si="49"/>
        <v>7</v>
      </c>
      <c r="R330">
        <f t="shared" si="50"/>
        <v>2013</v>
      </c>
      <c r="S330" t="str">
        <f t="shared" si="51"/>
        <v>June</v>
      </c>
      <c r="T330">
        <f t="shared" si="52"/>
        <v>6</v>
      </c>
      <c r="U330" t="str">
        <f t="shared" si="53"/>
        <v>Low Profit</v>
      </c>
    </row>
    <row r="331" spans="1:21" x14ac:dyDescent="0.35">
      <c r="A331" s="5" t="s">
        <v>42</v>
      </c>
      <c r="B331" s="5" t="s">
        <v>170</v>
      </c>
      <c r="C331" t="s">
        <v>92</v>
      </c>
      <c r="D331" t="s">
        <v>530</v>
      </c>
      <c r="E331" t="s">
        <v>29</v>
      </c>
      <c r="F331" t="s">
        <v>32</v>
      </c>
      <c r="G331" s="3">
        <v>40758</v>
      </c>
      <c r="H331">
        <v>775278842</v>
      </c>
      <c r="I331" s="3">
        <v>40808</v>
      </c>
      <c r="J331">
        <v>1093</v>
      </c>
      <c r="K331">
        <v>421.89</v>
      </c>
      <c r="L331">
        <v>364.69</v>
      </c>
      <c r="M331">
        <f t="shared" si="45"/>
        <v>461125.76999999996</v>
      </c>
      <c r="N331">
        <f t="shared" si="46"/>
        <v>398606.17</v>
      </c>
      <c r="O331">
        <f t="shared" si="47"/>
        <v>62519.599999999977</v>
      </c>
      <c r="P331" s="6">
        <f t="shared" si="48"/>
        <v>0.13558036455000114</v>
      </c>
      <c r="Q331">
        <f t="shared" si="49"/>
        <v>50</v>
      </c>
      <c r="R331">
        <f t="shared" si="50"/>
        <v>2011</v>
      </c>
      <c r="S331" t="str">
        <f t="shared" si="51"/>
        <v>August</v>
      </c>
      <c r="T331">
        <f t="shared" si="52"/>
        <v>8</v>
      </c>
      <c r="U331" t="str">
        <f t="shared" si="53"/>
        <v>Low Profit</v>
      </c>
    </row>
    <row r="332" spans="1:21" x14ac:dyDescent="0.35">
      <c r="A332" s="5" t="s">
        <v>37</v>
      </c>
      <c r="B332" s="5" t="s">
        <v>278</v>
      </c>
      <c r="C332" t="s">
        <v>92</v>
      </c>
      <c r="D332" t="s">
        <v>531</v>
      </c>
      <c r="E332" t="s">
        <v>23</v>
      </c>
      <c r="F332" t="s">
        <v>24</v>
      </c>
      <c r="G332" s="3">
        <v>42673</v>
      </c>
      <c r="H332">
        <v>855445134</v>
      </c>
      <c r="I332" s="3">
        <v>42710</v>
      </c>
      <c r="J332">
        <v>4080</v>
      </c>
      <c r="K332">
        <v>421.89</v>
      </c>
      <c r="L332">
        <v>364.69</v>
      </c>
      <c r="M332">
        <f t="shared" si="45"/>
        <v>1721311.2</v>
      </c>
      <c r="N332">
        <f t="shared" si="46"/>
        <v>1487935.2</v>
      </c>
      <c r="O332">
        <f t="shared" si="47"/>
        <v>233376</v>
      </c>
      <c r="P332" s="6">
        <f t="shared" si="48"/>
        <v>0.13558036455000119</v>
      </c>
      <c r="Q332">
        <f t="shared" si="49"/>
        <v>37</v>
      </c>
      <c r="R332">
        <f t="shared" si="50"/>
        <v>2016</v>
      </c>
      <c r="S332" t="str">
        <f t="shared" si="51"/>
        <v>October</v>
      </c>
      <c r="T332">
        <f t="shared" si="52"/>
        <v>10</v>
      </c>
      <c r="U332" t="str">
        <f t="shared" si="53"/>
        <v>Medium Profit</v>
      </c>
    </row>
    <row r="333" spans="1:21" x14ac:dyDescent="0.35">
      <c r="A333" s="5" t="s">
        <v>33</v>
      </c>
      <c r="B333" s="5" t="s">
        <v>231</v>
      </c>
      <c r="C333" t="s">
        <v>27</v>
      </c>
      <c r="D333" t="s">
        <v>532</v>
      </c>
      <c r="E333" t="s">
        <v>29</v>
      </c>
      <c r="F333" t="s">
        <v>41</v>
      </c>
      <c r="G333" s="3">
        <v>40426</v>
      </c>
      <c r="H333">
        <v>737816321</v>
      </c>
      <c r="I333" s="3">
        <v>40442</v>
      </c>
      <c r="J333">
        <v>5100</v>
      </c>
      <c r="K333">
        <v>154.06</v>
      </c>
      <c r="L333">
        <v>90.93</v>
      </c>
      <c r="M333">
        <f t="shared" si="45"/>
        <v>785706</v>
      </c>
      <c r="N333">
        <f t="shared" si="46"/>
        <v>463743.00000000006</v>
      </c>
      <c r="O333">
        <f t="shared" si="47"/>
        <v>321962.99999999994</v>
      </c>
      <c r="P333" s="6">
        <f t="shared" si="48"/>
        <v>0.40977541217707381</v>
      </c>
      <c r="Q333">
        <f t="shared" si="49"/>
        <v>16</v>
      </c>
      <c r="R333">
        <f t="shared" si="50"/>
        <v>2010</v>
      </c>
      <c r="S333" t="str">
        <f t="shared" si="51"/>
        <v>September</v>
      </c>
      <c r="T333">
        <f t="shared" si="52"/>
        <v>9</v>
      </c>
      <c r="U333" t="str">
        <f t="shared" si="53"/>
        <v>Medium Profit</v>
      </c>
    </row>
    <row r="334" spans="1:21" x14ac:dyDescent="0.35">
      <c r="A334" s="5" t="s">
        <v>25</v>
      </c>
      <c r="B334" s="5" t="s">
        <v>184</v>
      </c>
      <c r="C334" t="s">
        <v>72</v>
      </c>
      <c r="D334" t="s">
        <v>533</v>
      </c>
      <c r="E334" t="s">
        <v>29</v>
      </c>
      <c r="F334" t="s">
        <v>66</v>
      </c>
      <c r="G334" s="3">
        <v>41468</v>
      </c>
      <c r="H334">
        <v>799003732</v>
      </c>
      <c r="I334" s="3">
        <v>41469</v>
      </c>
      <c r="J334">
        <v>1815</v>
      </c>
      <c r="K334">
        <v>47.45</v>
      </c>
      <c r="L334">
        <v>31.79</v>
      </c>
      <c r="M334">
        <f t="shared" si="45"/>
        <v>86121.75</v>
      </c>
      <c r="N334">
        <f t="shared" si="46"/>
        <v>57698.85</v>
      </c>
      <c r="O334">
        <f t="shared" si="47"/>
        <v>28422.9</v>
      </c>
      <c r="P334" s="6">
        <f t="shared" si="48"/>
        <v>0.33003161222339306</v>
      </c>
      <c r="Q334">
        <f t="shared" si="49"/>
        <v>1</v>
      </c>
      <c r="R334">
        <f t="shared" si="50"/>
        <v>2013</v>
      </c>
      <c r="S334" t="str">
        <f t="shared" si="51"/>
        <v>July</v>
      </c>
      <c r="T334">
        <f t="shared" si="52"/>
        <v>7</v>
      </c>
      <c r="U334" t="str">
        <f t="shared" si="53"/>
        <v>Low Profit</v>
      </c>
    </row>
    <row r="335" spans="1:21" x14ac:dyDescent="0.35">
      <c r="A335" s="5" t="s">
        <v>37</v>
      </c>
      <c r="B335" s="5" t="s">
        <v>120</v>
      </c>
      <c r="C335" t="s">
        <v>27</v>
      </c>
      <c r="D335" t="s">
        <v>534</v>
      </c>
      <c r="E335" t="s">
        <v>29</v>
      </c>
      <c r="F335" t="s">
        <v>66</v>
      </c>
      <c r="G335" s="3">
        <v>41191</v>
      </c>
      <c r="H335">
        <v>585931193</v>
      </c>
      <c r="I335" s="3">
        <v>41234</v>
      </c>
      <c r="J335">
        <v>8916</v>
      </c>
      <c r="K335">
        <v>154.06</v>
      </c>
      <c r="L335">
        <v>90.93</v>
      </c>
      <c r="M335">
        <f t="shared" si="45"/>
        <v>1373598.96</v>
      </c>
      <c r="N335">
        <f t="shared" si="46"/>
        <v>810731.88</v>
      </c>
      <c r="O335">
        <f t="shared" si="47"/>
        <v>562867.07999999996</v>
      </c>
      <c r="P335" s="6">
        <f t="shared" si="48"/>
        <v>0.40977541217707386</v>
      </c>
      <c r="Q335">
        <f t="shared" si="49"/>
        <v>43</v>
      </c>
      <c r="R335">
        <f t="shared" si="50"/>
        <v>2012</v>
      </c>
      <c r="S335" t="str">
        <f t="shared" si="51"/>
        <v>October</v>
      </c>
      <c r="T335">
        <f t="shared" si="52"/>
        <v>10</v>
      </c>
      <c r="U335" t="str">
        <f t="shared" si="53"/>
        <v>High Profit</v>
      </c>
    </row>
    <row r="336" spans="1:21" x14ac:dyDescent="0.35">
      <c r="A336" s="5" t="s">
        <v>50</v>
      </c>
      <c r="B336" s="5" t="s">
        <v>366</v>
      </c>
      <c r="C336" t="s">
        <v>27</v>
      </c>
      <c r="D336" t="s">
        <v>535</v>
      </c>
      <c r="E336" t="s">
        <v>29</v>
      </c>
      <c r="F336" t="s">
        <v>24</v>
      </c>
      <c r="G336" s="3">
        <v>40911</v>
      </c>
      <c r="H336">
        <v>165835034</v>
      </c>
      <c r="I336" s="3">
        <v>40913</v>
      </c>
      <c r="J336">
        <v>3127</v>
      </c>
      <c r="K336">
        <v>154.06</v>
      </c>
      <c r="L336">
        <v>90.93</v>
      </c>
      <c r="M336">
        <f t="shared" si="45"/>
        <v>481745.62</v>
      </c>
      <c r="N336">
        <f t="shared" si="46"/>
        <v>284338.11000000004</v>
      </c>
      <c r="O336">
        <f t="shared" si="47"/>
        <v>197407.50999999995</v>
      </c>
      <c r="P336" s="6">
        <f t="shared" si="48"/>
        <v>0.40977541217707375</v>
      </c>
      <c r="Q336">
        <f t="shared" si="49"/>
        <v>2</v>
      </c>
      <c r="R336">
        <f t="shared" si="50"/>
        <v>2012</v>
      </c>
      <c r="S336" t="str">
        <f t="shared" si="51"/>
        <v>January</v>
      </c>
      <c r="T336">
        <f t="shared" si="52"/>
        <v>1</v>
      </c>
      <c r="U336" t="str">
        <f t="shared" si="53"/>
        <v>Medium Profit</v>
      </c>
    </row>
    <row r="337" spans="1:21" x14ac:dyDescent="0.35">
      <c r="A337" s="5" t="s">
        <v>50</v>
      </c>
      <c r="B337" s="5" t="s">
        <v>435</v>
      </c>
      <c r="C337" t="s">
        <v>30</v>
      </c>
      <c r="D337" t="s">
        <v>536</v>
      </c>
      <c r="E337" t="s">
        <v>23</v>
      </c>
      <c r="F337" t="s">
        <v>41</v>
      </c>
      <c r="G337" s="3">
        <v>40947</v>
      </c>
      <c r="H337">
        <v>576264083</v>
      </c>
      <c r="I337" s="3">
        <v>40982</v>
      </c>
      <c r="J337">
        <v>8203</v>
      </c>
      <c r="K337">
        <v>255.28</v>
      </c>
      <c r="L337">
        <v>159.41999999999999</v>
      </c>
      <c r="M337">
        <f t="shared" si="45"/>
        <v>2094061.84</v>
      </c>
      <c r="N337">
        <f t="shared" si="46"/>
        <v>1307722.26</v>
      </c>
      <c r="O337">
        <f t="shared" si="47"/>
        <v>786339.58000000007</v>
      </c>
      <c r="P337" s="6">
        <f t="shared" si="48"/>
        <v>0.37550924475086184</v>
      </c>
      <c r="Q337">
        <f t="shared" si="49"/>
        <v>35</v>
      </c>
      <c r="R337">
        <f t="shared" si="50"/>
        <v>2012</v>
      </c>
      <c r="S337" t="str">
        <f t="shared" si="51"/>
        <v>February</v>
      </c>
      <c r="T337">
        <f t="shared" si="52"/>
        <v>2</v>
      </c>
      <c r="U337" t="str">
        <f t="shared" si="53"/>
        <v>High Profit</v>
      </c>
    </row>
    <row r="338" spans="1:21" x14ac:dyDescent="0.35">
      <c r="A338" s="5" t="s">
        <v>19</v>
      </c>
      <c r="B338" s="5" t="s">
        <v>176</v>
      </c>
      <c r="C338" t="s">
        <v>48</v>
      </c>
      <c r="D338" t="s">
        <v>537</v>
      </c>
      <c r="E338" t="s">
        <v>23</v>
      </c>
      <c r="F338" t="s">
        <v>66</v>
      </c>
      <c r="G338" s="3">
        <v>42007</v>
      </c>
      <c r="H338">
        <v>675079667</v>
      </c>
      <c r="I338" s="3">
        <v>42011</v>
      </c>
      <c r="J338">
        <v>9930</v>
      </c>
      <c r="K338">
        <v>109.28</v>
      </c>
      <c r="L338">
        <v>35.840000000000003</v>
      </c>
      <c r="M338">
        <f t="shared" si="45"/>
        <v>1085150.3999999999</v>
      </c>
      <c r="N338">
        <f t="shared" si="46"/>
        <v>355891.20000000001</v>
      </c>
      <c r="O338">
        <f t="shared" si="47"/>
        <v>729259.2</v>
      </c>
      <c r="P338" s="6">
        <f t="shared" si="48"/>
        <v>0.67203513909224011</v>
      </c>
      <c r="Q338">
        <f t="shared" si="49"/>
        <v>4</v>
      </c>
      <c r="R338">
        <f t="shared" si="50"/>
        <v>2015</v>
      </c>
      <c r="S338" t="str">
        <f t="shared" si="51"/>
        <v>January</v>
      </c>
      <c r="T338">
        <f t="shared" si="52"/>
        <v>1</v>
      </c>
      <c r="U338" t="str">
        <f t="shared" si="53"/>
        <v>High Profit</v>
      </c>
    </row>
    <row r="339" spans="1:21" x14ac:dyDescent="0.35">
      <c r="A339" s="5" t="s">
        <v>19</v>
      </c>
      <c r="B339" s="5" t="s">
        <v>127</v>
      </c>
      <c r="C339" t="s">
        <v>83</v>
      </c>
      <c r="D339" t="s">
        <v>538</v>
      </c>
      <c r="E339" t="s">
        <v>29</v>
      </c>
      <c r="F339" t="s">
        <v>66</v>
      </c>
      <c r="G339" s="3">
        <v>41042</v>
      </c>
      <c r="H339">
        <v>290455615</v>
      </c>
      <c r="I339" s="3">
        <v>41057</v>
      </c>
      <c r="J339">
        <v>1126</v>
      </c>
      <c r="K339">
        <v>81.73</v>
      </c>
      <c r="L339">
        <v>56.67</v>
      </c>
      <c r="M339">
        <f t="shared" si="45"/>
        <v>92027.98000000001</v>
      </c>
      <c r="N339">
        <f t="shared" si="46"/>
        <v>63810.420000000006</v>
      </c>
      <c r="O339">
        <f t="shared" si="47"/>
        <v>28217.560000000005</v>
      </c>
      <c r="P339" s="6">
        <f t="shared" si="48"/>
        <v>0.30661935641747218</v>
      </c>
      <c r="Q339">
        <f t="shared" si="49"/>
        <v>15</v>
      </c>
      <c r="R339">
        <f t="shared" si="50"/>
        <v>2012</v>
      </c>
      <c r="S339" t="str">
        <f t="shared" si="51"/>
        <v>May</v>
      </c>
      <c r="T339">
        <f t="shared" si="52"/>
        <v>5</v>
      </c>
      <c r="U339" t="str">
        <f t="shared" si="53"/>
        <v>Low Profit</v>
      </c>
    </row>
    <row r="340" spans="1:21" x14ac:dyDescent="0.35">
      <c r="A340" s="5" t="s">
        <v>33</v>
      </c>
      <c r="B340" s="5" t="s">
        <v>439</v>
      </c>
      <c r="C340" t="s">
        <v>58</v>
      </c>
      <c r="D340" t="s">
        <v>539</v>
      </c>
      <c r="E340" t="s">
        <v>23</v>
      </c>
      <c r="F340" t="s">
        <v>66</v>
      </c>
      <c r="G340" s="3">
        <v>40921</v>
      </c>
      <c r="H340">
        <v>670878255</v>
      </c>
      <c r="I340" s="3">
        <v>40954</v>
      </c>
      <c r="J340">
        <v>6639</v>
      </c>
      <c r="K340">
        <v>152.58000000000001</v>
      </c>
      <c r="L340">
        <v>97.44</v>
      </c>
      <c r="M340">
        <f t="shared" si="45"/>
        <v>1012978.6200000001</v>
      </c>
      <c r="N340">
        <f t="shared" si="46"/>
        <v>646904.16</v>
      </c>
      <c r="O340">
        <f t="shared" si="47"/>
        <v>366074.46000000008</v>
      </c>
      <c r="P340" s="6">
        <f t="shared" si="48"/>
        <v>0.36138419189933152</v>
      </c>
      <c r="Q340">
        <f t="shared" si="49"/>
        <v>33</v>
      </c>
      <c r="R340">
        <f t="shared" si="50"/>
        <v>2012</v>
      </c>
      <c r="S340" t="str">
        <f t="shared" si="51"/>
        <v>January</v>
      </c>
      <c r="T340">
        <f t="shared" si="52"/>
        <v>1</v>
      </c>
      <c r="U340" t="str">
        <f t="shared" si="53"/>
        <v>Medium Profit</v>
      </c>
    </row>
    <row r="341" spans="1:21" x14ac:dyDescent="0.35">
      <c r="A341" s="5" t="s">
        <v>33</v>
      </c>
      <c r="B341" s="5" t="s">
        <v>540</v>
      </c>
      <c r="C341" t="s">
        <v>35</v>
      </c>
      <c r="D341" t="s">
        <v>541</v>
      </c>
      <c r="E341" t="s">
        <v>29</v>
      </c>
      <c r="F341" t="s">
        <v>24</v>
      </c>
      <c r="G341" s="3">
        <v>40754</v>
      </c>
      <c r="H341">
        <v>435146415</v>
      </c>
      <c r="I341" s="3">
        <v>40767</v>
      </c>
      <c r="J341">
        <v>8349</v>
      </c>
      <c r="K341">
        <v>205.7</v>
      </c>
      <c r="L341">
        <v>117.11</v>
      </c>
      <c r="M341">
        <f t="shared" si="45"/>
        <v>1717389.2999999998</v>
      </c>
      <c r="N341">
        <f t="shared" si="46"/>
        <v>977751.39</v>
      </c>
      <c r="O341">
        <f t="shared" si="47"/>
        <v>739637.9099999998</v>
      </c>
      <c r="P341" s="6">
        <f t="shared" si="48"/>
        <v>0.43067574137092846</v>
      </c>
      <c r="Q341">
        <f t="shared" si="49"/>
        <v>13</v>
      </c>
      <c r="R341">
        <f t="shared" si="50"/>
        <v>2011</v>
      </c>
      <c r="S341" t="str">
        <f t="shared" si="51"/>
        <v>July</v>
      </c>
      <c r="T341">
        <f t="shared" si="52"/>
        <v>7</v>
      </c>
      <c r="U341" t="str">
        <f t="shared" si="53"/>
        <v>High Profit</v>
      </c>
    </row>
    <row r="342" spans="1:21" x14ac:dyDescent="0.35">
      <c r="A342" s="5" t="s">
        <v>33</v>
      </c>
      <c r="B342" s="5" t="s">
        <v>448</v>
      </c>
      <c r="C342" t="s">
        <v>58</v>
      </c>
      <c r="D342" t="s">
        <v>542</v>
      </c>
      <c r="E342" t="s">
        <v>29</v>
      </c>
      <c r="F342" t="s">
        <v>32</v>
      </c>
      <c r="G342" s="3">
        <v>42807</v>
      </c>
      <c r="H342">
        <v>522371423</v>
      </c>
      <c r="I342" s="3">
        <v>42833</v>
      </c>
      <c r="J342">
        <v>167</v>
      </c>
      <c r="K342">
        <v>152.58000000000001</v>
      </c>
      <c r="L342">
        <v>97.44</v>
      </c>
      <c r="M342">
        <f t="shared" si="45"/>
        <v>25480.86</v>
      </c>
      <c r="N342">
        <f t="shared" si="46"/>
        <v>16272.48</v>
      </c>
      <c r="O342">
        <f t="shared" si="47"/>
        <v>9208.380000000001</v>
      </c>
      <c r="P342" s="6">
        <f t="shared" si="48"/>
        <v>0.36138419189933152</v>
      </c>
      <c r="Q342">
        <f t="shared" si="49"/>
        <v>26</v>
      </c>
      <c r="R342">
        <f t="shared" si="50"/>
        <v>2017</v>
      </c>
      <c r="S342" t="str">
        <f t="shared" si="51"/>
        <v>March</v>
      </c>
      <c r="T342">
        <f t="shared" si="52"/>
        <v>3</v>
      </c>
      <c r="U342" t="str">
        <f t="shared" si="53"/>
        <v>Low Profit</v>
      </c>
    </row>
    <row r="343" spans="1:21" x14ac:dyDescent="0.35">
      <c r="A343" s="5" t="s">
        <v>42</v>
      </c>
      <c r="B343" s="5" t="s">
        <v>166</v>
      </c>
      <c r="C343" t="s">
        <v>69</v>
      </c>
      <c r="D343" t="s">
        <v>543</v>
      </c>
      <c r="E343" t="s">
        <v>29</v>
      </c>
      <c r="F343" t="s">
        <v>66</v>
      </c>
      <c r="G343" s="3">
        <v>42817</v>
      </c>
      <c r="H343">
        <v>141977107</v>
      </c>
      <c r="I343" s="3">
        <v>42843</v>
      </c>
      <c r="J343">
        <v>3036</v>
      </c>
      <c r="K343">
        <v>651.21</v>
      </c>
      <c r="L343">
        <v>524.96</v>
      </c>
      <c r="M343">
        <f t="shared" si="45"/>
        <v>1977073.56</v>
      </c>
      <c r="N343">
        <f t="shared" si="46"/>
        <v>1593778.56</v>
      </c>
      <c r="O343">
        <f t="shared" si="47"/>
        <v>383295</v>
      </c>
      <c r="P343" s="6">
        <f t="shared" si="48"/>
        <v>0.19386987300563566</v>
      </c>
      <c r="Q343">
        <f t="shared" si="49"/>
        <v>26</v>
      </c>
      <c r="R343">
        <f t="shared" si="50"/>
        <v>2017</v>
      </c>
      <c r="S343" t="str">
        <f t="shared" si="51"/>
        <v>March</v>
      </c>
      <c r="T343">
        <f t="shared" si="52"/>
        <v>3</v>
      </c>
      <c r="U343" t="str">
        <f t="shared" si="53"/>
        <v>Medium Profit</v>
      </c>
    </row>
    <row r="344" spans="1:21" x14ac:dyDescent="0.35">
      <c r="A344" s="5" t="s">
        <v>33</v>
      </c>
      <c r="B344" s="5" t="s">
        <v>34</v>
      </c>
      <c r="C344" t="s">
        <v>30</v>
      </c>
      <c r="D344" t="s">
        <v>544</v>
      </c>
      <c r="E344" t="s">
        <v>23</v>
      </c>
      <c r="F344" t="s">
        <v>66</v>
      </c>
      <c r="G344" s="3">
        <v>42445</v>
      </c>
      <c r="H344">
        <v>823699796</v>
      </c>
      <c r="I344" s="3">
        <v>42479</v>
      </c>
      <c r="J344">
        <v>9929</v>
      </c>
      <c r="K344">
        <v>255.28</v>
      </c>
      <c r="L344">
        <v>159.41999999999999</v>
      </c>
      <c r="M344">
        <f t="shared" si="45"/>
        <v>2534675.12</v>
      </c>
      <c r="N344">
        <f t="shared" si="46"/>
        <v>1582881.18</v>
      </c>
      <c r="O344">
        <f t="shared" si="47"/>
        <v>951793.94000000018</v>
      </c>
      <c r="P344" s="6">
        <f t="shared" si="48"/>
        <v>0.37550924475086184</v>
      </c>
      <c r="Q344">
        <f t="shared" si="49"/>
        <v>34</v>
      </c>
      <c r="R344">
        <f t="shared" si="50"/>
        <v>2016</v>
      </c>
      <c r="S344" t="str">
        <f t="shared" si="51"/>
        <v>March</v>
      </c>
      <c r="T344">
        <f t="shared" si="52"/>
        <v>3</v>
      </c>
      <c r="U344" t="str">
        <f t="shared" si="53"/>
        <v>High Profit</v>
      </c>
    </row>
    <row r="345" spans="1:21" x14ac:dyDescent="0.35">
      <c r="A345" s="5" t="s">
        <v>37</v>
      </c>
      <c r="B345" s="5" t="s">
        <v>278</v>
      </c>
      <c r="C345" t="s">
        <v>72</v>
      </c>
      <c r="D345" t="s">
        <v>545</v>
      </c>
      <c r="E345" t="s">
        <v>23</v>
      </c>
      <c r="F345" t="s">
        <v>66</v>
      </c>
      <c r="G345" s="3">
        <v>42356</v>
      </c>
      <c r="H345">
        <v>567588317</v>
      </c>
      <c r="I345" s="3">
        <v>42364</v>
      </c>
      <c r="J345">
        <v>851</v>
      </c>
      <c r="K345">
        <v>47.45</v>
      </c>
      <c r="L345">
        <v>31.79</v>
      </c>
      <c r="M345">
        <f t="shared" si="45"/>
        <v>40379.950000000004</v>
      </c>
      <c r="N345">
        <f t="shared" si="46"/>
        <v>27053.29</v>
      </c>
      <c r="O345">
        <f t="shared" si="47"/>
        <v>13326.660000000003</v>
      </c>
      <c r="P345" s="6">
        <f t="shared" si="48"/>
        <v>0.33003161222339311</v>
      </c>
      <c r="Q345">
        <f t="shared" si="49"/>
        <v>8</v>
      </c>
      <c r="R345">
        <f t="shared" si="50"/>
        <v>2015</v>
      </c>
      <c r="S345" t="str">
        <f t="shared" si="51"/>
        <v>December</v>
      </c>
      <c r="T345">
        <f t="shared" si="52"/>
        <v>12</v>
      </c>
      <c r="U345" t="str">
        <f t="shared" si="53"/>
        <v>Low Profit</v>
      </c>
    </row>
    <row r="346" spans="1:21" x14ac:dyDescent="0.35">
      <c r="A346" s="5" t="s">
        <v>42</v>
      </c>
      <c r="B346" s="5" t="s">
        <v>300</v>
      </c>
      <c r="C346" t="s">
        <v>39</v>
      </c>
      <c r="D346" t="s">
        <v>546</v>
      </c>
      <c r="E346" t="s">
        <v>23</v>
      </c>
      <c r="F346" t="s">
        <v>41</v>
      </c>
      <c r="G346" s="3">
        <v>40841</v>
      </c>
      <c r="H346">
        <v>594003999</v>
      </c>
      <c r="I346" s="3">
        <v>40863</v>
      </c>
      <c r="J346">
        <v>7838</v>
      </c>
      <c r="K346">
        <v>9.33</v>
      </c>
      <c r="L346">
        <v>6.92</v>
      </c>
      <c r="M346">
        <f t="shared" si="45"/>
        <v>73128.539999999994</v>
      </c>
      <c r="N346">
        <f t="shared" si="46"/>
        <v>54238.96</v>
      </c>
      <c r="O346">
        <f t="shared" si="47"/>
        <v>18889.579999999994</v>
      </c>
      <c r="P346" s="6">
        <f t="shared" si="48"/>
        <v>0.25830653804930326</v>
      </c>
      <c r="Q346">
        <f t="shared" si="49"/>
        <v>22</v>
      </c>
      <c r="R346">
        <f t="shared" si="50"/>
        <v>2011</v>
      </c>
      <c r="S346" t="str">
        <f t="shared" si="51"/>
        <v>October</v>
      </c>
      <c r="T346">
        <f t="shared" si="52"/>
        <v>10</v>
      </c>
      <c r="U346" t="str">
        <f t="shared" si="53"/>
        <v>Low Profit</v>
      </c>
    </row>
    <row r="347" spans="1:21" x14ac:dyDescent="0.35">
      <c r="A347" s="5" t="s">
        <v>42</v>
      </c>
      <c r="B347" s="5" t="s">
        <v>170</v>
      </c>
      <c r="C347" t="s">
        <v>30</v>
      </c>
      <c r="D347" t="s">
        <v>547</v>
      </c>
      <c r="E347" t="s">
        <v>23</v>
      </c>
      <c r="F347" t="s">
        <v>41</v>
      </c>
      <c r="G347" s="3">
        <v>40724</v>
      </c>
      <c r="H347">
        <v>393620669</v>
      </c>
      <c r="I347" s="3">
        <v>40757</v>
      </c>
      <c r="J347">
        <v>9958</v>
      </c>
      <c r="K347">
        <v>255.28</v>
      </c>
      <c r="L347">
        <v>159.41999999999999</v>
      </c>
      <c r="M347">
        <f t="shared" si="45"/>
        <v>2542078.2400000002</v>
      </c>
      <c r="N347">
        <f t="shared" si="46"/>
        <v>1587504.3599999999</v>
      </c>
      <c r="O347">
        <f t="shared" si="47"/>
        <v>954573.88000000035</v>
      </c>
      <c r="P347" s="6">
        <f t="shared" si="48"/>
        <v>0.37550924475086189</v>
      </c>
      <c r="Q347">
        <f t="shared" si="49"/>
        <v>33</v>
      </c>
      <c r="R347">
        <f t="shared" si="50"/>
        <v>2011</v>
      </c>
      <c r="S347" t="str">
        <f t="shared" si="51"/>
        <v>June</v>
      </c>
      <c r="T347">
        <f t="shared" si="52"/>
        <v>6</v>
      </c>
      <c r="U347" t="str">
        <f t="shared" si="53"/>
        <v>High Profit</v>
      </c>
    </row>
    <row r="348" spans="1:21" x14ac:dyDescent="0.35">
      <c r="A348" s="5" t="s">
        <v>37</v>
      </c>
      <c r="B348" s="5" t="s">
        <v>120</v>
      </c>
      <c r="C348" t="s">
        <v>21</v>
      </c>
      <c r="D348" t="s">
        <v>548</v>
      </c>
      <c r="E348" t="s">
        <v>23</v>
      </c>
      <c r="F348" t="s">
        <v>41</v>
      </c>
      <c r="G348" s="3">
        <v>42456</v>
      </c>
      <c r="H348">
        <v>877424657</v>
      </c>
      <c r="I348" s="3">
        <v>42470</v>
      </c>
      <c r="J348">
        <v>8309</v>
      </c>
      <c r="K348">
        <v>437.2</v>
      </c>
      <c r="L348">
        <v>263.33</v>
      </c>
      <c r="M348">
        <f t="shared" si="45"/>
        <v>3632694.8</v>
      </c>
      <c r="N348">
        <f t="shared" si="46"/>
        <v>2188008.9699999997</v>
      </c>
      <c r="O348">
        <f t="shared" si="47"/>
        <v>1444685.83</v>
      </c>
      <c r="P348" s="6">
        <f t="shared" si="48"/>
        <v>0.3976898444647759</v>
      </c>
      <c r="Q348">
        <f t="shared" si="49"/>
        <v>14</v>
      </c>
      <c r="R348">
        <f t="shared" si="50"/>
        <v>2016</v>
      </c>
      <c r="S348" t="str">
        <f t="shared" si="51"/>
        <v>March</v>
      </c>
      <c r="T348">
        <f t="shared" si="52"/>
        <v>3</v>
      </c>
      <c r="U348" t="str">
        <f t="shared" si="53"/>
        <v>High Profit</v>
      </c>
    </row>
    <row r="349" spans="1:21" x14ac:dyDescent="0.35">
      <c r="A349" s="5" t="s">
        <v>42</v>
      </c>
      <c r="B349" s="5" t="s">
        <v>281</v>
      </c>
      <c r="C349" t="s">
        <v>60</v>
      </c>
      <c r="D349" t="s">
        <v>549</v>
      </c>
      <c r="E349" t="s">
        <v>23</v>
      </c>
      <c r="F349" t="s">
        <v>24</v>
      </c>
      <c r="G349" s="3">
        <v>42727</v>
      </c>
      <c r="H349">
        <v>326714789</v>
      </c>
      <c r="I349" s="3">
        <v>42756</v>
      </c>
      <c r="J349">
        <v>1021</v>
      </c>
      <c r="K349">
        <v>668.27</v>
      </c>
      <c r="L349">
        <v>502.54</v>
      </c>
      <c r="M349">
        <f t="shared" si="45"/>
        <v>682303.66999999993</v>
      </c>
      <c r="N349">
        <f t="shared" si="46"/>
        <v>513093.34</v>
      </c>
      <c r="O349">
        <f t="shared" si="47"/>
        <v>169210.3299999999</v>
      </c>
      <c r="P349" s="6">
        <f t="shared" si="48"/>
        <v>0.24799856345489088</v>
      </c>
      <c r="Q349">
        <f t="shared" si="49"/>
        <v>29</v>
      </c>
      <c r="R349">
        <f t="shared" si="50"/>
        <v>2016</v>
      </c>
      <c r="S349" t="str">
        <f t="shared" si="51"/>
        <v>December</v>
      </c>
      <c r="T349">
        <f t="shared" si="52"/>
        <v>12</v>
      </c>
      <c r="U349" t="str">
        <f t="shared" si="53"/>
        <v>Medium Profit</v>
      </c>
    </row>
    <row r="350" spans="1:21" x14ac:dyDescent="0.35">
      <c r="A350" s="5" t="s">
        <v>37</v>
      </c>
      <c r="B350" s="5" t="s">
        <v>208</v>
      </c>
      <c r="C350" t="s">
        <v>39</v>
      </c>
      <c r="D350" t="s">
        <v>550</v>
      </c>
      <c r="E350" t="s">
        <v>23</v>
      </c>
      <c r="F350" t="s">
        <v>24</v>
      </c>
      <c r="G350" s="3">
        <v>41382</v>
      </c>
      <c r="H350">
        <v>243102395</v>
      </c>
      <c r="I350" s="3">
        <v>41382</v>
      </c>
      <c r="J350">
        <v>8256</v>
      </c>
      <c r="K350">
        <v>9.33</v>
      </c>
      <c r="L350">
        <v>6.92</v>
      </c>
      <c r="M350">
        <f t="shared" si="45"/>
        <v>77028.479999999996</v>
      </c>
      <c r="N350">
        <f t="shared" si="46"/>
        <v>57131.519999999997</v>
      </c>
      <c r="O350">
        <f t="shared" si="47"/>
        <v>19896.96</v>
      </c>
      <c r="P350" s="6">
        <f t="shared" si="48"/>
        <v>0.25830653804930331</v>
      </c>
      <c r="Q350">
        <f t="shared" si="49"/>
        <v>0</v>
      </c>
      <c r="R350">
        <f t="shared" si="50"/>
        <v>2013</v>
      </c>
      <c r="S350" t="str">
        <f t="shared" si="51"/>
        <v>April</v>
      </c>
      <c r="T350">
        <f t="shared" si="52"/>
        <v>4</v>
      </c>
      <c r="U350" t="str">
        <f t="shared" si="53"/>
        <v>Low Profit</v>
      </c>
    </row>
    <row r="351" spans="1:21" x14ac:dyDescent="0.35">
      <c r="A351" s="5" t="s">
        <v>53</v>
      </c>
      <c r="B351" s="5" t="s">
        <v>522</v>
      </c>
      <c r="C351" t="s">
        <v>60</v>
      </c>
      <c r="D351" t="s">
        <v>551</v>
      </c>
      <c r="E351" t="s">
        <v>23</v>
      </c>
      <c r="F351" t="s">
        <v>66</v>
      </c>
      <c r="G351" s="3">
        <v>42802</v>
      </c>
      <c r="H351">
        <v>398511302</v>
      </c>
      <c r="I351" s="3">
        <v>42845</v>
      </c>
      <c r="J351">
        <v>7205</v>
      </c>
      <c r="K351">
        <v>668.27</v>
      </c>
      <c r="L351">
        <v>502.54</v>
      </c>
      <c r="M351">
        <f t="shared" si="45"/>
        <v>4814885.3499999996</v>
      </c>
      <c r="N351">
        <f t="shared" si="46"/>
        <v>3620800.7</v>
      </c>
      <c r="O351">
        <f t="shared" si="47"/>
        <v>1194084.6499999994</v>
      </c>
      <c r="P351" s="6">
        <f t="shared" si="48"/>
        <v>0.24799856345489088</v>
      </c>
      <c r="Q351">
        <f t="shared" si="49"/>
        <v>43</v>
      </c>
      <c r="R351">
        <f t="shared" si="50"/>
        <v>2017</v>
      </c>
      <c r="S351" t="str">
        <f t="shared" si="51"/>
        <v>March</v>
      </c>
      <c r="T351">
        <f t="shared" si="52"/>
        <v>3</v>
      </c>
      <c r="U351" t="str">
        <f t="shared" si="53"/>
        <v>High Profit</v>
      </c>
    </row>
    <row r="352" spans="1:21" x14ac:dyDescent="0.35">
      <c r="A352" s="5" t="s">
        <v>42</v>
      </c>
      <c r="B352" s="5" t="s">
        <v>135</v>
      </c>
      <c r="C352" t="s">
        <v>83</v>
      </c>
      <c r="D352" t="s">
        <v>552</v>
      </c>
      <c r="E352" t="s">
        <v>23</v>
      </c>
      <c r="F352" t="s">
        <v>24</v>
      </c>
      <c r="G352" s="3">
        <v>40697</v>
      </c>
      <c r="H352">
        <v>185177838</v>
      </c>
      <c r="I352" s="3">
        <v>40728</v>
      </c>
      <c r="J352">
        <v>7092</v>
      </c>
      <c r="K352">
        <v>81.73</v>
      </c>
      <c r="L352">
        <v>56.67</v>
      </c>
      <c r="M352">
        <f t="shared" si="45"/>
        <v>579629.16</v>
      </c>
      <c r="N352">
        <f t="shared" si="46"/>
        <v>401903.64</v>
      </c>
      <c r="O352">
        <f t="shared" si="47"/>
        <v>177725.52000000002</v>
      </c>
      <c r="P352" s="6">
        <f t="shared" si="48"/>
        <v>0.30661935641747218</v>
      </c>
      <c r="Q352">
        <f t="shared" si="49"/>
        <v>31</v>
      </c>
      <c r="R352">
        <f t="shared" si="50"/>
        <v>2011</v>
      </c>
      <c r="S352" t="str">
        <f t="shared" si="51"/>
        <v>June</v>
      </c>
      <c r="T352">
        <f t="shared" si="52"/>
        <v>6</v>
      </c>
      <c r="U352" t="str">
        <f t="shared" si="53"/>
        <v>Medium Profit</v>
      </c>
    </row>
    <row r="353" spans="1:21" x14ac:dyDescent="0.35">
      <c r="A353" s="5" t="s">
        <v>33</v>
      </c>
      <c r="B353" s="5" t="s">
        <v>247</v>
      </c>
      <c r="C353" t="s">
        <v>83</v>
      </c>
      <c r="D353" t="s">
        <v>553</v>
      </c>
      <c r="E353" t="s">
        <v>23</v>
      </c>
      <c r="F353" t="s">
        <v>41</v>
      </c>
      <c r="G353" s="3">
        <v>41608</v>
      </c>
      <c r="H353">
        <v>865650832</v>
      </c>
      <c r="I353" s="3">
        <v>41639</v>
      </c>
      <c r="J353">
        <v>4173</v>
      </c>
      <c r="K353">
        <v>81.73</v>
      </c>
      <c r="L353">
        <v>56.67</v>
      </c>
      <c r="M353">
        <f t="shared" si="45"/>
        <v>341059.29000000004</v>
      </c>
      <c r="N353">
        <f t="shared" si="46"/>
        <v>236483.91</v>
      </c>
      <c r="O353">
        <f t="shared" si="47"/>
        <v>104575.38000000003</v>
      </c>
      <c r="P353" s="6">
        <f t="shared" si="48"/>
        <v>0.30661935641747223</v>
      </c>
      <c r="Q353">
        <f t="shared" si="49"/>
        <v>31</v>
      </c>
      <c r="R353">
        <f t="shared" si="50"/>
        <v>2013</v>
      </c>
      <c r="S353" t="str">
        <f t="shared" si="51"/>
        <v>November</v>
      </c>
      <c r="T353">
        <f t="shared" si="52"/>
        <v>11</v>
      </c>
      <c r="U353" t="str">
        <f t="shared" si="53"/>
        <v>Medium Profit</v>
      </c>
    </row>
    <row r="354" spans="1:21" x14ac:dyDescent="0.35">
      <c r="A354" s="5" t="s">
        <v>42</v>
      </c>
      <c r="B354" s="5" t="s">
        <v>145</v>
      </c>
      <c r="C354" t="s">
        <v>35</v>
      </c>
      <c r="D354" t="s">
        <v>554</v>
      </c>
      <c r="E354" t="s">
        <v>23</v>
      </c>
      <c r="F354" t="s">
        <v>32</v>
      </c>
      <c r="G354" s="3">
        <v>41405</v>
      </c>
      <c r="H354">
        <v>622791612</v>
      </c>
      <c r="I354" s="3">
        <v>41425</v>
      </c>
      <c r="J354">
        <v>6733</v>
      </c>
      <c r="K354">
        <v>205.7</v>
      </c>
      <c r="L354">
        <v>117.11</v>
      </c>
      <c r="M354">
        <f t="shared" si="45"/>
        <v>1384978.0999999999</v>
      </c>
      <c r="N354">
        <f t="shared" si="46"/>
        <v>788501.63</v>
      </c>
      <c r="O354">
        <f t="shared" si="47"/>
        <v>596476.46999999986</v>
      </c>
      <c r="P354" s="6">
        <f t="shared" si="48"/>
        <v>0.43067574137092846</v>
      </c>
      <c r="Q354">
        <f t="shared" si="49"/>
        <v>20</v>
      </c>
      <c r="R354">
        <f t="shared" si="50"/>
        <v>2013</v>
      </c>
      <c r="S354" t="str">
        <f t="shared" si="51"/>
        <v>May</v>
      </c>
      <c r="T354">
        <f t="shared" si="52"/>
        <v>5</v>
      </c>
      <c r="U354" t="str">
        <f t="shared" si="53"/>
        <v>High Profit</v>
      </c>
    </row>
    <row r="355" spans="1:21" x14ac:dyDescent="0.35">
      <c r="A355" s="5" t="s">
        <v>42</v>
      </c>
      <c r="B355" s="5" t="s">
        <v>379</v>
      </c>
      <c r="C355" t="s">
        <v>83</v>
      </c>
      <c r="D355" t="s">
        <v>555</v>
      </c>
      <c r="E355" t="s">
        <v>29</v>
      </c>
      <c r="F355" t="s">
        <v>66</v>
      </c>
      <c r="G355" s="3">
        <v>40495</v>
      </c>
      <c r="H355">
        <v>409774005</v>
      </c>
      <c r="I355" s="3">
        <v>40509</v>
      </c>
      <c r="J355">
        <v>89</v>
      </c>
      <c r="K355">
        <v>81.73</v>
      </c>
      <c r="L355">
        <v>56.67</v>
      </c>
      <c r="M355">
        <f t="shared" si="45"/>
        <v>7273.97</v>
      </c>
      <c r="N355">
        <f t="shared" si="46"/>
        <v>5043.63</v>
      </c>
      <c r="O355">
        <f t="shared" si="47"/>
        <v>2230.34</v>
      </c>
      <c r="P355" s="6">
        <f t="shared" si="48"/>
        <v>0.30661935641747218</v>
      </c>
      <c r="Q355">
        <f t="shared" si="49"/>
        <v>14</v>
      </c>
      <c r="R355">
        <f t="shared" si="50"/>
        <v>2010</v>
      </c>
      <c r="S355" t="str">
        <f t="shared" si="51"/>
        <v>November</v>
      </c>
      <c r="T355">
        <f t="shared" si="52"/>
        <v>11</v>
      </c>
      <c r="U355" t="str">
        <f t="shared" si="53"/>
        <v>Low Profit</v>
      </c>
    </row>
    <row r="356" spans="1:21" x14ac:dyDescent="0.35">
      <c r="A356" s="5" t="s">
        <v>37</v>
      </c>
      <c r="B356" s="5" t="s">
        <v>62</v>
      </c>
      <c r="C356" t="s">
        <v>69</v>
      </c>
      <c r="D356" t="s">
        <v>556</v>
      </c>
      <c r="E356" t="s">
        <v>29</v>
      </c>
      <c r="F356" t="s">
        <v>41</v>
      </c>
      <c r="G356" s="3">
        <v>42438</v>
      </c>
      <c r="H356">
        <v>800084340</v>
      </c>
      <c r="I356" s="3">
        <v>42481</v>
      </c>
      <c r="J356">
        <v>1591</v>
      </c>
      <c r="K356">
        <v>651.21</v>
      </c>
      <c r="L356">
        <v>524.96</v>
      </c>
      <c r="M356">
        <f t="shared" si="45"/>
        <v>1036075.1100000001</v>
      </c>
      <c r="N356">
        <f t="shared" si="46"/>
        <v>835211.3600000001</v>
      </c>
      <c r="O356">
        <f t="shared" si="47"/>
        <v>200863.75</v>
      </c>
      <c r="P356" s="6">
        <f t="shared" si="48"/>
        <v>0.19386987300563566</v>
      </c>
      <c r="Q356">
        <f t="shared" si="49"/>
        <v>43</v>
      </c>
      <c r="R356">
        <f t="shared" si="50"/>
        <v>2016</v>
      </c>
      <c r="S356" t="str">
        <f t="shared" si="51"/>
        <v>March</v>
      </c>
      <c r="T356">
        <f t="shared" si="52"/>
        <v>3</v>
      </c>
      <c r="U356" t="str">
        <f t="shared" si="53"/>
        <v>Medium Profit</v>
      </c>
    </row>
    <row r="357" spans="1:21" x14ac:dyDescent="0.35">
      <c r="A357" s="5" t="s">
        <v>42</v>
      </c>
      <c r="B357" s="5" t="s">
        <v>137</v>
      </c>
      <c r="C357" t="s">
        <v>58</v>
      </c>
      <c r="D357" t="s">
        <v>557</v>
      </c>
      <c r="E357" t="s">
        <v>23</v>
      </c>
      <c r="F357" t="s">
        <v>24</v>
      </c>
      <c r="G357" s="3">
        <v>41505</v>
      </c>
      <c r="H357">
        <v>637521445</v>
      </c>
      <c r="I357" s="3">
        <v>41529</v>
      </c>
      <c r="J357">
        <v>5618</v>
      </c>
      <c r="K357">
        <v>152.58000000000001</v>
      </c>
      <c r="L357">
        <v>97.44</v>
      </c>
      <c r="M357">
        <f t="shared" si="45"/>
        <v>857194.44000000006</v>
      </c>
      <c r="N357">
        <f t="shared" si="46"/>
        <v>547417.92000000004</v>
      </c>
      <c r="O357">
        <f t="shared" si="47"/>
        <v>309776.52</v>
      </c>
      <c r="P357" s="6">
        <f t="shared" si="48"/>
        <v>0.36138419189933152</v>
      </c>
      <c r="Q357">
        <f t="shared" si="49"/>
        <v>24</v>
      </c>
      <c r="R357">
        <f t="shared" si="50"/>
        <v>2013</v>
      </c>
      <c r="S357" t="str">
        <f t="shared" si="51"/>
        <v>August</v>
      </c>
      <c r="T357">
        <f t="shared" si="52"/>
        <v>8</v>
      </c>
      <c r="U357" t="str">
        <f t="shared" si="53"/>
        <v>Medium Profit</v>
      </c>
    </row>
    <row r="358" spans="1:21" x14ac:dyDescent="0.35">
      <c r="A358" s="5" t="s">
        <v>37</v>
      </c>
      <c r="B358" s="5" t="s">
        <v>520</v>
      </c>
      <c r="C358" t="s">
        <v>72</v>
      </c>
      <c r="D358" t="s">
        <v>558</v>
      </c>
      <c r="E358" t="s">
        <v>29</v>
      </c>
      <c r="F358" t="s">
        <v>66</v>
      </c>
      <c r="G358" s="3">
        <v>40652</v>
      </c>
      <c r="H358">
        <v>186196649</v>
      </c>
      <c r="I358" s="3">
        <v>40691</v>
      </c>
      <c r="J358">
        <v>8581</v>
      </c>
      <c r="K358">
        <v>47.45</v>
      </c>
      <c r="L358">
        <v>31.79</v>
      </c>
      <c r="M358">
        <f t="shared" si="45"/>
        <v>407168.45</v>
      </c>
      <c r="N358">
        <f t="shared" si="46"/>
        <v>272789.99</v>
      </c>
      <c r="O358">
        <f t="shared" si="47"/>
        <v>134378.46000000002</v>
      </c>
      <c r="P358" s="6">
        <f t="shared" si="48"/>
        <v>0.33003161222339311</v>
      </c>
      <c r="Q358">
        <f t="shared" si="49"/>
        <v>39</v>
      </c>
      <c r="R358">
        <f t="shared" si="50"/>
        <v>2011</v>
      </c>
      <c r="S358" t="str">
        <f t="shared" si="51"/>
        <v>April</v>
      </c>
      <c r="T358">
        <f t="shared" si="52"/>
        <v>4</v>
      </c>
      <c r="U358" t="str">
        <f t="shared" si="53"/>
        <v>Medium Profit</v>
      </c>
    </row>
    <row r="359" spans="1:21" x14ac:dyDescent="0.35">
      <c r="A359" s="5" t="s">
        <v>53</v>
      </c>
      <c r="B359" s="5" t="s">
        <v>522</v>
      </c>
      <c r="C359" t="s">
        <v>30</v>
      </c>
      <c r="D359" t="s">
        <v>559</v>
      </c>
      <c r="E359" t="s">
        <v>23</v>
      </c>
      <c r="F359" t="s">
        <v>66</v>
      </c>
      <c r="G359" s="3">
        <v>41840</v>
      </c>
      <c r="H359">
        <v>680533778</v>
      </c>
      <c r="I359" s="3">
        <v>41845</v>
      </c>
      <c r="J359">
        <v>3923</v>
      </c>
      <c r="K359">
        <v>255.28</v>
      </c>
      <c r="L359">
        <v>159.41999999999999</v>
      </c>
      <c r="M359">
        <f t="shared" si="45"/>
        <v>1001463.4400000001</v>
      </c>
      <c r="N359">
        <f t="shared" si="46"/>
        <v>625404.65999999992</v>
      </c>
      <c r="O359">
        <f t="shared" si="47"/>
        <v>376058.78000000014</v>
      </c>
      <c r="P359" s="6">
        <f t="shared" si="48"/>
        <v>0.37550924475086195</v>
      </c>
      <c r="Q359">
        <f t="shared" si="49"/>
        <v>5</v>
      </c>
      <c r="R359">
        <f t="shared" si="50"/>
        <v>2014</v>
      </c>
      <c r="S359" t="str">
        <f t="shared" si="51"/>
        <v>July</v>
      </c>
      <c r="T359">
        <f t="shared" si="52"/>
        <v>7</v>
      </c>
      <c r="U359" t="str">
        <f t="shared" si="53"/>
        <v>Medium Profit</v>
      </c>
    </row>
    <row r="360" spans="1:21" x14ac:dyDescent="0.35">
      <c r="A360" s="5" t="s">
        <v>19</v>
      </c>
      <c r="B360" s="5" t="s">
        <v>560</v>
      </c>
      <c r="C360" t="s">
        <v>72</v>
      </c>
      <c r="D360" t="s">
        <v>561</v>
      </c>
      <c r="E360" t="s">
        <v>29</v>
      </c>
      <c r="F360" t="s">
        <v>66</v>
      </c>
      <c r="G360" s="3">
        <v>41890</v>
      </c>
      <c r="H360">
        <v>275269162</v>
      </c>
      <c r="I360" s="3">
        <v>41897</v>
      </c>
      <c r="J360">
        <v>7117</v>
      </c>
      <c r="K360">
        <v>47.45</v>
      </c>
      <c r="L360">
        <v>31.79</v>
      </c>
      <c r="M360">
        <f t="shared" si="45"/>
        <v>337701.65</v>
      </c>
      <c r="N360">
        <f t="shared" si="46"/>
        <v>226249.43</v>
      </c>
      <c r="O360">
        <f t="shared" si="47"/>
        <v>111452.22000000003</v>
      </c>
      <c r="P360" s="6">
        <f t="shared" si="48"/>
        <v>0.33003161222339311</v>
      </c>
      <c r="Q360">
        <f t="shared" si="49"/>
        <v>7</v>
      </c>
      <c r="R360">
        <f t="shared" si="50"/>
        <v>2014</v>
      </c>
      <c r="S360" t="str">
        <f t="shared" si="51"/>
        <v>September</v>
      </c>
      <c r="T360">
        <f t="shared" si="52"/>
        <v>9</v>
      </c>
      <c r="U360" t="str">
        <f t="shared" si="53"/>
        <v>Medium Profit</v>
      </c>
    </row>
    <row r="361" spans="1:21" x14ac:dyDescent="0.35">
      <c r="A361" s="5" t="s">
        <v>42</v>
      </c>
      <c r="B361" s="5" t="s">
        <v>273</v>
      </c>
      <c r="C361" t="s">
        <v>60</v>
      </c>
      <c r="D361" t="s">
        <v>562</v>
      </c>
      <c r="E361" t="s">
        <v>29</v>
      </c>
      <c r="F361" t="s">
        <v>32</v>
      </c>
      <c r="G361" s="3">
        <v>42159</v>
      </c>
      <c r="H361">
        <v>795451629</v>
      </c>
      <c r="I361" s="3">
        <v>42174</v>
      </c>
      <c r="J361">
        <v>668</v>
      </c>
      <c r="K361">
        <v>668.27</v>
      </c>
      <c r="L361">
        <v>502.54</v>
      </c>
      <c r="M361">
        <f t="shared" si="45"/>
        <v>446404.36</v>
      </c>
      <c r="N361">
        <f t="shared" si="46"/>
        <v>335696.72000000003</v>
      </c>
      <c r="O361">
        <f t="shared" si="47"/>
        <v>110707.63999999996</v>
      </c>
      <c r="P361" s="6">
        <f t="shared" si="48"/>
        <v>0.24799856345489091</v>
      </c>
      <c r="Q361">
        <f t="shared" si="49"/>
        <v>15</v>
      </c>
      <c r="R361">
        <f t="shared" si="50"/>
        <v>2015</v>
      </c>
      <c r="S361" t="str">
        <f t="shared" si="51"/>
        <v>June</v>
      </c>
      <c r="T361">
        <f t="shared" si="52"/>
        <v>6</v>
      </c>
      <c r="U361" t="str">
        <f t="shared" si="53"/>
        <v>Medium Profit</v>
      </c>
    </row>
    <row r="362" spans="1:21" x14ac:dyDescent="0.35">
      <c r="A362" s="5" t="s">
        <v>42</v>
      </c>
      <c r="B362" s="5" t="s">
        <v>300</v>
      </c>
      <c r="C362" t="s">
        <v>35</v>
      </c>
      <c r="D362" t="s">
        <v>563</v>
      </c>
      <c r="E362" t="s">
        <v>23</v>
      </c>
      <c r="F362" t="s">
        <v>24</v>
      </c>
      <c r="G362" s="3">
        <v>41627</v>
      </c>
      <c r="H362">
        <v>986442506</v>
      </c>
      <c r="I362" s="3">
        <v>41640</v>
      </c>
      <c r="J362">
        <v>9113</v>
      </c>
      <c r="K362">
        <v>205.7</v>
      </c>
      <c r="L362">
        <v>117.11</v>
      </c>
      <c r="M362">
        <f t="shared" si="45"/>
        <v>1874544.0999999999</v>
      </c>
      <c r="N362">
        <f t="shared" si="46"/>
        <v>1067223.43</v>
      </c>
      <c r="O362">
        <f t="shared" si="47"/>
        <v>807320.66999999993</v>
      </c>
      <c r="P362" s="6">
        <f t="shared" si="48"/>
        <v>0.43067574137092851</v>
      </c>
      <c r="Q362">
        <f t="shared" si="49"/>
        <v>13</v>
      </c>
      <c r="R362">
        <f t="shared" si="50"/>
        <v>2013</v>
      </c>
      <c r="S362" t="str">
        <f t="shared" si="51"/>
        <v>December</v>
      </c>
      <c r="T362">
        <f t="shared" si="52"/>
        <v>12</v>
      </c>
      <c r="U362" t="str">
        <f t="shared" si="53"/>
        <v>High Profit</v>
      </c>
    </row>
    <row r="363" spans="1:21" x14ac:dyDescent="0.35">
      <c r="A363" s="5" t="s">
        <v>19</v>
      </c>
      <c r="B363" s="5" t="s">
        <v>560</v>
      </c>
      <c r="C363" t="s">
        <v>35</v>
      </c>
      <c r="D363" t="s">
        <v>564</v>
      </c>
      <c r="E363" t="s">
        <v>23</v>
      </c>
      <c r="F363" t="s">
        <v>24</v>
      </c>
      <c r="G363" s="3">
        <v>41047</v>
      </c>
      <c r="H363">
        <v>563915622</v>
      </c>
      <c r="I363" s="3">
        <v>41070</v>
      </c>
      <c r="J363">
        <v>4019</v>
      </c>
      <c r="K363">
        <v>205.7</v>
      </c>
      <c r="L363">
        <v>117.11</v>
      </c>
      <c r="M363">
        <f t="shared" si="45"/>
        <v>826708.29999999993</v>
      </c>
      <c r="N363">
        <f t="shared" si="46"/>
        <v>470665.09</v>
      </c>
      <c r="O363">
        <f t="shared" si="47"/>
        <v>356043.2099999999</v>
      </c>
      <c r="P363" s="6">
        <f t="shared" si="48"/>
        <v>0.43067574137092846</v>
      </c>
      <c r="Q363">
        <f t="shared" si="49"/>
        <v>23</v>
      </c>
      <c r="R363">
        <f t="shared" si="50"/>
        <v>2012</v>
      </c>
      <c r="S363" t="str">
        <f t="shared" si="51"/>
        <v>May</v>
      </c>
      <c r="T363">
        <f t="shared" si="52"/>
        <v>5</v>
      </c>
      <c r="U363" t="str">
        <f t="shared" si="53"/>
        <v>Medium Profit</v>
      </c>
    </row>
    <row r="364" spans="1:21" x14ac:dyDescent="0.35">
      <c r="A364" s="5" t="s">
        <v>53</v>
      </c>
      <c r="B364" s="5" t="s">
        <v>218</v>
      </c>
      <c r="C364" t="s">
        <v>21</v>
      </c>
      <c r="D364" t="s">
        <v>565</v>
      </c>
      <c r="E364" t="s">
        <v>23</v>
      </c>
      <c r="F364" t="s">
        <v>32</v>
      </c>
      <c r="G364" s="3">
        <v>41559</v>
      </c>
      <c r="H364">
        <v>663857305</v>
      </c>
      <c r="I364" s="3">
        <v>41591</v>
      </c>
      <c r="J364">
        <v>8984</v>
      </c>
      <c r="K364">
        <v>437.2</v>
      </c>
      <c r="L364">
        <v>263.33</v>
      </c>
      <c r="M364">
        <f t="shared" si="45"/>
        <v>3927804.8</v>
      </c>
      <c r="N364">
        <f t="shared" si="46"/>
        <v>2365756.7199999997</v>
      </c>
      <c r="O364">
        <f t="shared" si="47"/>
        <v>1562048.08</v>
      </c>
      <c r="P364" s="6">
        <f t="shared" si="48"/>
        <v>0.3976898444647759</v>
      </c>
      <c r="Q364">
        <f t="shared" si="49"/>
        <v>32</v>
      </c>
      <c r="R364">
        <f t="shared" si="50"/>
        <v>2013</v>
      </c>
      <c r="S364" t="str">
        <f t="shared" si="51"/>
        <v>October</v>
      </c>
      <c r="T364">
        <f t="shared" si="52"/>
        <v>10</v>
      </c>
      <c r="U364" t="str">
        <f t="shared" si="53"/>
        <v>High Profit</v>
      </c>
    </row>
    <row r="365" spans="1:21" x14ac:dyDescent="0.35">
      <c r="A365" s="5" t="s">
        <v>53</v>
      </c>
      <c r="B365" s="5" t="s">
        <v>245</v>
      </c>
      <c r="C365" t="s">
        <v>39</v>
      </c>
      <c r="D365" t="s">
        <v>566</v>
      </c>
      <c r="E365" t="s">
        <v>29</v>
      </c>
      <c r="F365" t="s">
        <v>66</v>
      </c>
      <c r="G365" s="3">
        <v>40545</v>
      </c>
      <c r="H365">
        <v>692566382</v>
      </c>
      <c r="I365" s="3">
        <v>40557</v>
      </c>
      <c r="J365">
        <v>4638</v>
      </c>
      <c r="K365">
        <v>9.33</v>
      </c>
      <c r="L365">
        <v>6.92</v>
      </c>
      <c r="M365">
        <f t="shared" si="45"/>
        <v>43272.54</v>
      </c>
      <c r="N365">
        <f t="shared" si="46"/>
        <v>32094.959999999999</v>
      </c>
      <c r="O365">
        <f t="shared" si="47"/>
        <v>11177.580000000002</v>
      </c>
      <c r="P365" s="6">
        <f t="shared" si="48"/>
        <v>0.25830653804930337</v>
      </c>
      <c r="Q365">
        <f t="shared" si="49"/>
        <v>12</v>
      </c>
      <c r="R365">
        <f t="shared" si="50"/>
        <v>2011</v>
      </c>
      <c r="S365" t="str">
        <f t="shared" si="51"/>
        <v>January</v>
      </c>
      <c r="T365">
        <f t="shared" si="52"/>
        <v>1</v>
      </c>
      <c r="U365" t="str">
        <f t="shared" si="53"/>
        <v>Low Profit</v>
      </c>
    </row>
    <row r="366" spans="1:21" x14ac:dyDescent="0.35">
      <c r="A366" s="5" t="s">
        <v>50</v>
      </c>
      <c r="B366" s="5" t="s">
        <v>195</v>
      </c>
      <c r="C366" t="s">
        <v>60</v>
      </c>
      <c r="D366" t="s">
        <v>567</v>
      </c>
      <c r="E366" t="s">
        <v>23</v>
      </c>
      <c r="F366" t="s">
        <v>66</v>
      </c>
      <c r="G366" s="3">
        <v>41307</v>
      </c>
      <c r="H366">
        <v>576654183</v>
      </c>
      <c r="I366" s="3">
        <v>41308</v>
      </c>
      <c r="J366">
        <v>3642</v>
      </c>
      <c r="K366">
        <v>668.27</v>
      </c>
      <c r="L366">
        <v>502.54</v>
      </c>
      <c r="M366">
        <f t="shared" si="45"/>
        <v>2433839.34</v>
      </c>
      <c r="N366">
        <f t="shared" si="46"/>
        <v>1830250.6800000002</v>
      </c>
      <c r="O366">
        <f t="shared" si="47"/>
        <v>603588.65999999968</v>
      </c>
      <c r="P366" s="6">
        <f t="shared" si="48"/>
        <v>0.24799856345489088</v>
      </c>
      <c r="Q366">
        <f t="shared" si="49"/>
        <v>1</v>
      </c>
      <c r="R366">
        <f t="shared" si="50"/>
        <v>2013</v>
      </c>
      <c r="S366" t="str">
        <f t="shared" si="51"/>
        <v>February</v>
      </c>
      <c r="T366">
        <f t="shared" si="52"/>
        <v>2</v>
      </c>
      <c r="U366" t="str">
        <f t="shared" si="53"/>
        <v>High Profit</v>
      </c>
    </row>
    <row r="367" spans="1:21" x14ac:dyDescent="0.35">
      <c r="A367" s="5" t="s">
        <v>25</v>
      </c>
      <c r="B367" s="5" t="s">
        <v>71</v>
      </c>
      <c r="C367" t="s">
        <v>30</v>
      </c>
      <c r="D367" t="s">
        <v>568</v>
      </c>
      <c r="E367" t="s">
        <v>23</v>
      </c>
      <c r="F367" t="s">
        <v>41</v>
      </c>
      <c r="G367" s="3">
        <v>40621</v>
      </c>
      <c r="H367">
        <v>313044536</v>
      </c>
      <c r="I367" s="3">
        <v>40647</v>
      </c>
      <c r="J367">
        <v>5689</v>
      </c>
      <c r="K367">
        <v>255.28</v>
      </c>
      <c r="L367">
        <v>159.41999999999999</v>
      </c>
      <c r="M367">
        <f t="shared" si="45"/>
        <v>1452287.92</v>
      </c>
      <c r="N367">
        <f t="shared" si="46"/>
        <v>906940.37999999989</v>
      </c>
      <c r="O367">
        <f t="shared" si="47"/>
        <v>545347.54</v>
      </c>
      <c r="P367" s="6">
        <f t="shared" si="48"/>
        <v>0.37550924475086184</v>
      </c>
      <c r="Q367">
        <f t="shared" si="49"/>
        <v>26</v>
      </c>
      <c r="R367">
        <f t="shared" si="50"/>
        <v>2011</v>
      </c>
      <c r="S367" t="str">
        <f t="shared" si="51"/>
        <v>March</v>
      </c>
      <c r="T367">
        <f t="shared" si="52"/>
        <v>3</v>
      </c>
      <c r="U367" t="str">
        <f t="shared" si="53"/>
        <v>High Profit</v>
      </c>
    </row>
    <row r="368" spans="1:21" x14ac:dyDescent="0.35">
      <c r="A368" s="5" t="s">
        <v>42</v>
      </c>
      <c r="B368" s="5" t="s">
        <v>170</v>
      </c>
      <c r="C368" t="s">
        <v>83</v>
      </c>
      <c r="D368" t="s">
        <v>569</v>
      </c>
      <c r="E368" t="s">
        <v>23</v>
      </c>
      <c r="F368" t="s">
        <v>32</v>
      </c>
      <c r="G368" s="3">
        <v>41185</v>
      </c>
      <c r="H368">
        <v>418973767</v>
      </c>
      <c r="I368" s="3">
        <v>41209</v>
      </c>
      <c r="J368">
        <v>2503</v>
      </c>
      <c r="K368">
        <v>81.73</v>
      </c>
      <c r="L368">
        <v>56.67</v>
      </c>
      <c r="M368">
        <f t="shared" si="45"/>
        <v>204570.19</v>
      </c>
      <c r="N368">
        <f t="shared" si="46"/>
        <v>141845.01</v>
      </c>
      <c r="O368">
        <f t="shared" si="47"/>
        <v>62725.179999999993</v>
      </c>
      <c r="P368" s="6">
        <f t="shared" si="48"/>
        <v>0.30661935641747212</v>
      </c>
      <c r="Q368">
        <f t="shared" si="49"/>
        <v>24</v>
      </c>
      <c r="R368">
        <f t="shared" si="50"/>
        <v>2012</v>
      </c>
      <c r="S368" t="str">
        <f t="shared" si="51"/>
        <v>October</v>
      </c>
      <c r="T368">
        <f t="shared" si="52"/>
        <v>10</v>
      </c>
      <c r="U368" t="str">
        <f t="shared" si="53"/>
        <v>Low Profit</v>
      </c>
    </row>
    <row r="369" spans="1:21" x14ac:dyDescent="0.35">
      <c r="A369" s="5" t="s">
        <v>19</v>
      </c>
      <c r="B369" s="5" t="s">
        <v>127</v>
      </c>
      <c r="C369" t="s">
        <v>72</v>
      </c>
      <c r="D369" t="s">
        <v>570</v>
      </c>
      <c r="E369" t="s">
        <v>29</v>
      </c>
      <c r="F369" t="s">
        <v>32</v>
      </c>
      <c r="G369" s="3">
        <v>41935</v>
      </c>
      <c r="H369">
        <v>581990706</v>
      </c>
      <c r="I369" s="3">
        <v>41958</v>
      </c>
      <c r="J369">
        <v>2838</v>
      </c>
      <c r="K369">
        <v>47.45</v>
      </c>
      <c r="L369">
        <v>31.79</v>
      </c>
      <c r="M369">
        <f t="shared" si="45"/>
        <v>134663.1</v>
      </c>
      <c r="N369">
        <f t="shared" si="46"/>
        <v>90220.02</v>
      </c>
      <c r="O369">
        <f t="shared" si="47"/>
        <v>44443.08</v>
      </c>
      <c r="P369" s="6">
        <f t="shared" si="48"/>
        <v>0.33003161222339306</v>
      </c>
      <c r="Q369">
        <f t="shared" si="49"/>
        <v>23</v>
      </c>
      <c r="R369">
        <f t="shared" si="50"/>
        <v>2014</v>
      </c>
      <c r="S369" t="str">
        <f t="shared" si="51"/>
        <v>October</v>
      </c>
      <c r="T369">
        <f t="shared" si="52"/>
        <v>10</v>
      </c>
      <c r="U369" t="str">
        <f t="shared" si="53"/>
        <v>Low Profit</v>
      </c>
    </row>
    <row r="370" spans="1:21" x14ac:dyDescent="0.35">
      <c r="A370" s="5" t="s">
        <v>37</v>
      </c>
      <c r="B370" s="5" t="s">
        <v>466</v>
      </c>
      <c r="C370" t="s">
        <v>30</v>
      </c>
      <c r="D370" t="s">
        <v>571</v>
      </c>
      <c r="E370" t="s">
        <v>29</v>
      </c>
      <c r="F370" t="s">
        <v>41</v>
      </c>
      <c r="G370" s="3">
        <v>42197</v>
      </c>
      <c r="H370">
        <v>109956681</v>
      </c>
      <c r="I370" s="3">
        <v>42209</v>
      </c>
      <c r="J370">
        <v>7480</v>
      </c>
      <c r="K370">
        <v>255.28</v>
      </c>
      <c r="L370">
        <v>159.41999999999999</v>
      </c>
      <c r="M370">
        <f t="shared" si="45"/>
        <v>1909494.4</v>
      </c>
      <c r="N370">
        <f t="shared" si="46"/>
        <v>1192461.5999999999</v>
      </c>
      <c r="O370">
        <f t="shared" si="47"/>
        <v>717032.8</v>
      </c>
      <c r="P370" s="6">
        <f t="shared" si="48"/>
        <v>0.37550924475086184</v>
      </c>
      <c r="Q370">
        <f t="shared" si="49"/>
        <v>12</v>
      </c>
      <c r="R370">
        <f t="shared" si="50"/>
        <v>2015</v>
      </c>
      <c r="S370" t="str">
        <f t="shared" si="51"/>
        <v>July</v>
      </c>
      <c r="T370">
        <f t="shared" si="52"/>
        <v>7</v>
      </c>
      <c r="U370" t="str">
        <f t="shared" si="53"/>
        <v>High Profit</v>
      </c>
    </row>
    <row r="371" spans="1:21" x14ac:dyDescent="0.35">
      <c r="A371" s="5" t="s">
        <v>42</v>
      </c>
      <c r="B371" s="5" t="s">
        <v>80</v>
      </c>
      <c r="C371" t="s">
        <v>35</v>
      </c>
      <c r="D371" t="s">
        <v>572</v>
      </c>
      <c r="E371" t="s">
        <v>29</v>
      </c>
      <c r="F371" t="s">
        <v>66</v>
      </c>
      <c r="G371" s="3">
        <v>40304</v>
      </c>
      <c r="H371">
        <v>181045520</v>
      </c>
      <c r="I371" s="3">
        <v>40325</v>
      </c>
      <c r="J371">
        <v>4247</v>
      </c>
      <c r="K371">
        <v>205.7</v>
      </c>
      <c r="L371">
        <v>117.11</v>
      </c>
      <c r="M371">
        <f t="shared" si="45"/>
        <v>873607.89999999991</v>
      </c>
      <c r="N371">
        <f t="shared" si="46"/>
        <v>497366.17</v>
      </c>
      <c r="O371">
        <f t="shared" si="47"/>
        <v>376241.72999999992</v>
      </c>
      <c r="P371" s="6">
        <f t="shared" si="48"/>
        <v>0.43067574137092851</v>
      </c>
      <c r="Q371">
        <f t="shared" si="49"/>
        <v>21</v>
      </c>
      <c r="R371">
        <f t="shared" si="50"/>
        <v>2010</v>
      </c>
      <c r="S371" t="str">
        <f t="shared" si="51"/>
        <v>May</v>
      </c>
      <c r="T371">
        <f t="shared" si="52"/>
        <v>5</v>
      </c>
      <c r="U371" t="str">
        <f t="shared" si="53"/>
        <v>Medium Profit</v>
      </c>
    </row>
    <row r="372" spans="1:21" x14ac:dyDescent="0.35">
      <c r="A372" s="5" t="s">
        <v>33</v>
      </c>
      <c r="B372" s="5" t="s">
        <v>85</v>
      </c>
      <c r="C372" t="s">
        <v>27</v>
      </c>
      <c r="D372" t="s">
        <v>573</v>
      </c>
      <c r="E372" t="s">
        <v>29</v>
      </c>
      <c r="F372" t="s">
        <v>32</v>
      </c>
      <c r="G372" s="3">
        <v>40509</v>
      </c>
      <c r="H372">
        <v>693743550</v>
      </c>
      <c r="I372" s="3">
        <v>40552</v>
      </c>
      <c r="J372">
        <v>2988</v>
      </c>
      <c r="K372">
        <v>154.06</v>
      </c>
      <c r="L372">
        <v>90.93</v>
      </c>
      <c r="M372">
        <f t="shared" si="45"/>
        <v>460331.28</v>
      </c>
      <c r="N372">
        <f t="shared" si="46"/>
        <v>271698.84000000003</v>
      </c>
      <c r="O372">
        <f t="shared" si="47"/>
        <v>188632.44</v>
      </c>
      <c r="P372" s="6">
        <f t="shared" si="48"/>
        <v>0.40977541217707386</v>
      </c>
      <c r="Q372">
        <f t="shared" si="49"/>
        <v>43</v>
      </c>
      <c r="R372">
        <f t="shared" si="50"/>
        <v>2010</v>
      </c>
      <c r="S372" t="str">
        <f t="shared" si="51"/>
        <v>November</v>
      </c>
      <c r="T372">
        <f t="shared" si="52"/>
        <v>11</v>
      </c>
      <c r="U372" t="str">
        <f t="shared" si="53"/>
        <v>Medium Profit</v>
      </c>
    </row>
    <row r="373" spans="1:21" x14ac:dyDescent="0.35">
      <c r="A373" s="5" t="s">
        <v>50</v>
      </c>
      <c r="B373" s="5" t="s">
        <v>456</v>
      </c>
      <c r="C373" t="s">
        <v>48</v>
      </c>
      <c r="D373" t="s">
        <v>574</v>
      </c>
      <c r="E373" t="s">
        <v>23</v>
      </c>
      <c r="F373" t="s">
        <v>66</v>
      </c>
      <c r="G373" s="3">
        <v>40538</v>
      </c>
      <c r="H373">
        <v>716849601</v>
      </c>
      <c r="I373" s="3">
        <v>40543</v>
      </c>
      <c r="J373">
        <v>582</v>
      </c>
      <c r="K373">
        <v>109.28</v>
      </c>
      <c r="L373">
        <v>35.840000000000003</v>
      </c>
      <c r="M373">
        <f t="shared" si="45"/>
        <v>63600.959999999999</v>
      </c>
      <c r="N373">
        <f t="shared" si="46"/>
        <v>20858.88</v>
      </c>
      <c r="O373">
        <f t="shared" si="47"/>
        <v>42742.080000000002</v>
      </c>
      <c r="P373" s="6">
        <f t="shared" si="48"/>
        <v>0.67203513909224011</v>
      </c>
      <c r="Q373">
        <f t="shared" si="49"/>
        <v>5</v>
      </c>
      <c r="R373">
        <f t="shared" si="50"/>
        <v>2010</v>
      </c>
      <c r="S373" t="str">
        <f t="shared" si="51"/>
        <v>December</v>
      </c>
      <c r="T373">
        <f t="shared" si="52"/>
        <v>12</v>
      </c>
      <c r="U373" t="str">
        <f t="shared" si="53"/>
        <v>Low Profit</v>
      </c>
    </row>
    <row r="374" spans="1:21" x14ac:dyDescent="0.35">
      <c r="A374" s="5" t="s">
        <v>19</v>
      </c>
      <c r="B374" s="5" t="s">
        <v>452</v>
      </c>
      <c r="C374" t="s">
        <v>21</v>
      </c>
      <c r="D374" t="s">
        <v>575</v>
      </c>
      <c r="E374" t="s">
        <v>29</v>
      </c>
      <c r="F374" t="s">
        <v>66</v>
      </c>
      <c r="G374" s="3">
        <v>41273</v>
      </c>
      <c r="H374">
        <v>739474999</v>
      </c>
      <c r="I374" s="3">
        <v>41275</v>
      </c>
      <c r="J374">
        <v>5940</v>
      </c>
      <c r="K374">
        <v>437.2</v>
      </c>
      <c r="L374">
        <v>263.33</v>
      </c>
      <c r="M374">
        <f t="shared" si="45"/>
        <v>2596968</v>
      </c>
      <c r="N374">
        <f t="shared" si="46"/>
        <v>1564180.2</v>
      </c>
      <c r="O374">
        <f t="shared" si="47"/>
        <v>1032787.8</v>
      </c>
      <c r="P374" s="6">
        <f t="shared" si="48"/>
        <v>0.39768984446477584</v>
      </c>
      <c r="Q374">
        <f t="shared" si="49"/>
        <v>2</v>
      </c>
      <c r="R374">
        <f t="shared" si="50"/>
        <v>2012</v>
      </c>
      <c r="S374" t="str">
        <f t="shared" si="51"/>
        <v>December</v>
      </c>
      <c r="T374">
        <f t="shared" si="52"/>
        <v>12</v>
      </c>
      <c r="U374" t="str">
        <f t="shared" si="53"/>
        <v>High Profit</v>
      </c>
    </row>
    <row r="375" spans="1:21" x14ac:dyDescent="0.35">
      <c r="A375" s="5" t="s">
        <v>53</v>
      </c>
      <c r="B375" s="5" t="s">
        <v>78</v>
      </c>
      <c r="C375" t="s">
        <v>83</v>
      </c>
      <c r="D375" t="s">
        <v>576</v>
      </c>
      <c r="E375" t="s">
        <v>29</v>
      </c>
      <c r="F375" t="s">
        <v>24</v>
      </c>
      <c r="G375" s="3">
        <v>42603</v>
      </c>
      <c r="H375">
        <v>421043574</v>
      </c>
      <c r="I375" s="3">
        <v>42620</v>
      </c>
      <c r="J375">
        <v>5005</v>
      </c>
      <c r="K375">
        <v>81.73</v>
      </c>
      <c r="L375">
        <v>56.67</v>
      </c>
      <c r="M375">
        <f t="shared" si="45"/>
        <v>409058.65</v>
      </c>
      <c r="N375">
        <f t="shared" si="46"/>
        <v>283633.35000000003</v>
      </c>
      <c r="O375">
        <f t="shared" si="47"/>
        <v>125425.29999999999</v>
      </c>
      <c r="P375" s="6">
        <f t="shared" si="48"/>
        <v>0.30661935641747212</v>
      </c>
      <c r="Q375">
        <f t="shared" si="49"/>
        <v>17</v>
      </c>
      <c r="R375">
        <f t="shared" si="50"/>
        <v>2016</v>
      </c>
      <c r="S375" t="str">
        <f t="shared" si="51"/>
        <v>August</v>
      </c>
      <c r="T375">
        <f t="shared" si="52"/>
        <v>8</v>
      </c>
      <c r="U375" t="str">
        <f t="shared" si="53"/>
        <v>Medium Profit</v>
      </c>
    </row>
    <row r="376" spans="1:21" x14ac:dyDescent="0.35">
      <c r="A376" s="5" t="s">
        <v>42</v>
      </c>
      <c r="B376" s="5" t="s">
        <v>379</v>
      </c>
      <c r="C376" t="s">
        <v>83</v>
      </c>
      <c r="D376" t="s">
        <v>577</v>
      </c>
      <c r="E376" t="s">
        <v>29</v>
      </c>
      <c r="F376" t="s">
        <v>24</v>
      </c>
      <c r="G376" s="3">
        <v>42038</v>
      </c>
      <c r="H376">
        <v>841291654</v>
      </c>
      <c r="I376" s="3">
        <v>42083</v>
      </c>
      <c r="J376">
        <v>5751</v>
      </c>
      <c r="K376">
        <v>81.73</v>
      </c>
      <c r="L376">
        <v>56.67</v>
      </c>
      <c r="M376">
        <f t="shared" si="45"/>
        <v>470029.23000000004</v>
      </c>
      <c r="N376">
        <f t="shared" si="46"/>
        <v>325909.17</v>
      </c>
      <c r="O376">
        <f t="shared" si="47"/>
        <v>144120.06000000006</v>
      </c>
      <c r="P376" s="6">
        <f t="shared" si="48"/>
        <v>0.30661935641747223</v>
      </c>
      <c r="Q376">
        <f t="shared" si="49"/>
        <v>45</v>
      </c>
      <c r="R376">
        <f t="shared" si="50"/>
        <v>2015</v>
      </c>
      <c r="S376" t="str">
        <f t="shared" si="51"/>
        <v>February</v>
      </c>
      <c r="T376">
        <f t="shared" si="52"/>
        <v>2</v>
      </c>
      <c r="U376" t="str">
        <f t="shared" si="53"/>
        <v>Medium Profit</v>
      </c>
    </row>
    <row r="377" spans="1:21" x14ac:dyDescent="0.35">
      <c r="A377" s="5" t="s">
        <v>50</v>
      </c>
      <c r="B377" s="5" t="s">
        <v>491</v>
      </c>
      <c r="C377" t="s">
        <v>35</v>
      </c>
      <c r="D377" t="s">
        <v>578</v>
      </c>
      <c r="E377" t="s">
        <v>23</v>
      </c>
      <c r="F377" t="s">
        <v>66</v>
      </c>
      <c r="G377" s="3">
        <v>41627</v>
      </c>
      <c r="H377">
        <v>450268065</v>
      </c>
      <c r="I377" s="3">
        <v>41643</v>
      </c>
      <c r="J377">
        <v>3181</v>
      </c>
      <c r="K377">
        <v>205.7</v>
      </c>
      <c r="L377">
        <v>117.11</v>
      </c>
      <c r="M377">
        <f t="shared" si="45"/>
        <v>654331.69999999995</v>
      </c>
      <c r="N377">
        <f t="shared" si="46"/>
        <v>372526.91</v>
      </c>
      <c r="O377">
        <f t="shared" si="47"/>
        <v>281804.78999999998</v>
      </c>
      <c r="P377" s="6">
        <f t="shared" si="48"/>
        <v>0.43067574137092851</v>
      </c>
      <c r="Q377">
        <f t="shared" si="49"/>
        <v>16</v>
      </c>
      <c r="R377">
        <f t="shared" si="50"/>
        <v>2013</v>
      </c>
      <c r="S377" t="str">
        <f t="shared" si="51"/>
        <v>December</v>
      </c>
      <c r="T377">
        <f t="shared" si="52"/>
        <v>12</v>
      </c>
      <c r="U377" t="str">
        <f t="shared" si="53"/>
        <v>Medium Profit</v>
      </c>
    </row>
    <row r="378" spans="1:21" x14ac:dyDescent="0.35">
      <c r="A378" s="5" t="s">
        <v>50</v>
      </c>
      <c r="B378" s="5" t="s">
        <v>87</v>
      </c>
      <c r="C378" t="s">
        <v>92</v>
      </c>
      <c r="D378" t="s">
        <v>579</v>
      </c>
      <c r="E378" t="s">
        <v>29</v>
      </c>
      <c r="F378" t="s">
        <v>66</v>
      </c>
      <c r="G378" s="3">
        <v>41041</v>
      </c>
      <c r="H378">
        <v>918334138</v>
      </c>
      <c r="I378" s="3">
        <v>41072</v>
      </c>
      <c r="J378">
        <v>4334</v>
      </c>
      <c r="K378">
        <v>421.89</v>
      </c>
      <c r="L378">
        <v>364.69</v>
      </c>
      <c r="M378">
        <f t="shared" si="45"/>
        <v>1828471.26</v>
      </c>
      <c r="N378">
        <f t="shared" si="46"/>
        <v>1580566.46</v>
      </c>
      <c r="O378">
        <f t="shared" si="47"/>
        <v>247904.80000000005</v>
      </c>
      <c r="P378" s="6">
        <f t="shared" si="48"/>
        <v>0.13558036455000122</v>
      </c>
      <c r="Q378">
        <f t="shared" si="49"/>
        <v>31</v>
      </c>
      <c r="R378">
        <f t="shared" si="50"/>
        <v>2012</v>
      </c>
      <c r="S378" t="str">
        <f t="shared" si="51"/>
        <v>May</v>
      </c>
      <c r="T378">
        <f t="shared" si="52"/>
        <v>5</v>
      </c>
      <c r="U378" t="str">
        <f t="shared" si="53"/>
        <v>Medium Profit</v>
      </c>
    </row>
    <row r="379" spans="1:21" x14ac:dyDescent="0.35">
      <c r="A379" s="5" t="s">
        <v>37</v>
      </c>
      <c r="B379" s="5" t="s">
        <v>580</v>
      </c>
      <c r="C379" t="s">
        <v>92</v>
      </c>
      <c r="D379" t="s">
        <v>581</v>
      </c>
      <c r="E379" t="s">
        <v>23</v>
      </c>
      <c r="F379" t="s">
        <v>24</v>
      </c>
      <c r="G379" s="3">
        <v>41726</v>
      </c>
      <c r="H379">
        <v>386163699</v>
      </c>
      <c r="I379" s="3">
        <v>41748</v>
      </c>
      <c r="J379">
        <v>3275</v>
      </c>
      <c r="K379">
        <v>421.89</v>
      </c>
      <c r="L379">
        <v>364.69</v>
      </c>
      <c r="M379">
        <f t="shared" si="45"/>
        <v>1381689.75</v>
      </c>
      <c r="N379">
        <f t="shared" si="46"/>
        <v>1194359.75</v>
      </c>
      <c r="O379">
        <f t="shared" si="47"/>
        <v>187330</v>
      </c>
      <c r="P379" s="6">
        <f t="shared" si="48"/>
        <v>0.13558036455000119</v>
      </c>
      <c r="Q379">
        <f t="shared" si="49"/>
        <v>22</v>
      </c>
      <c r="R379">
        <f t="shared" si="50"/>
        <v>2014</v>
      </c>
      <c r="S379" t="str">
        <f t="shared" si="51"/>
        <v>March</v>
      </c>
      <c r="T379">
        <f t="shared" si="52"/>
        <v>3</v>
      </c>
      <c r="U379" t="str">
        <f t="shared" si="53"/>
        <v>Medium Profit</v>
      </c>
    </row>
    <row r="380" spans="1:21" x14ac:dyDescent="0.35">
      <c r="A380" s="5" t="s">
        <v>50</v>
      </c>
      <c r="B380" s="5" t="s">
        <v>204</v>
      </c>
      <c r="C380" t="s">
        <v>83</v>
      </c>
      <c r="D380" t="s">
        <v>582</v>
      </c>
      <c r="E380" t="s">
        <v>23</v>
      </c>
      <c r="F380" t="s">
        <v>32</v>
      </c>
      <c r="G380" s="3">
        <v>42746</v>
      </c>
      <c r="H380">
        <v>214743077</v>
      </c>
      <c r="I380" s="3">
        <v>42784</v>
      </c>
      <c r="J380">
        <v>6103</v>
      </c>
      <c r="K380">
        <v>81.73</v>
      </c>
      <c r="L380">
        <v>56.67</v>
      </c>
      <c r="M380">
        <f t="shared" si="45"/>
        <v>498798.19</v>
      </c>
      <c r="N380">
        <f t="shared" si="46"/>
        <v>345857.01</v>
      </c>
      <c r="O380">
        <f t="shared" si="47"/>
        <v>152941.18</v>
      </c>
      <c r="P380" s="6">
        <f t="shared" si="48"/>
        <v>0.30661935641747212</v>
      </c>
      <c r="Q380">
        <f t="shared" si="49"/>
        <v>38</v>
      </c>
      <c r="R380">
        <f t="shared" si="50"/>
        <v>2017</v>
      </c>
      <c r="S380" t="str">
        <f t="shared" si="51"/>
        <v>January</v>
      </c>
      <c r="T380">
        <f t="shared" si="52"/>
        <v>1</v>
      </c>
      <c r="U380" t="str">
        <f t="shared" si="53"/>
        <v>Medium Profit</v>
      </c>
    </row>
    <row r="381" spans="1:21" x14ac:dyDescent="0.35">
      <c r="A381" s="5" t="s">
        <v>42</v>
      </c>
      <c r="B381" s="5" t="s">
        <v>111</v>
      </c>
      <c r="C381" t="s">
        <v>30</v>
      </c>
      <c r="D381" t="s">
        <v>583</v>
      </c>
      <c r="E381" t="s">
        <v>29</v>
      </c>
      <c r="F381" t="s">
        <v>24</v>
      </c>
      <c r="G381" s="3">
        <v>42176</v>
      </c>
      <c r="H381">
        <v>935371100</v>
      </c>
      <c r="I381" s="3">
        <v>42191</v>
      </c>
      <c r="J381">
        <v>5949</v>
      </c>
      <c r="K381">
        <v>255.28</v>
      </c>
      <c r="L381">
        <v>159.41999999999999</v>
      </c>
      <c r="M381">
        <f t="shared" si="45"/>
        <v>1518660.72</v>
      </c>
      <c r="N381">
        <f t="shared" si="46"/>
        <v>948389.58</v>
      </c>
      <c r="O381">
        <f t="shared" si="47"/>
        <v>570271.14</v>
      </c>
      <c r="P381" s="6">
        <f t="shared" si="48"/>
        <v>0.37550924475086184</v>
      </c>
      <c r="Q381">
        <f t="shared" si="49"/>
        <v>15</v>
      </c>
      <c r="R381">
        <f t="shared" si="50"/>
        <v>2015</v>
      </c>
      <c r="S381" t="str">
        <f t="shared" si="51"/>
        <v>June</v>
      </c>
      <c r="T381">
        <f t="shared" si="52"/>
        <v>6</v>
      </c>
      <c r="U381" t="str">
        <f t="shared" si="53"/>
        <v>High Profit</v>
      </c>
    </row>
    <row r="382" spans="1:21" x14ac:dyDescent="0.35">
      <c r="A382" s="5" t="s">
        <v>33</v>
      </c>
      <c r="B382" s="5" t="s">
        <v>584</v>
      </c>
      <c r="C382" t="s">
        <v>21</v>
      </c>
      <c r="D382" t="s">
        <v>585</v>
      </c>
      <c r="E382" t="s">
        <v>23</v>
      </c>
      <c r="F382" t="s">
        <v>41</v>
      </c>
      <c r="G382" s="3">
        <v>41242</v>
      </c>
      <c r="H382">
        <v>899659097</v>
      </c>
      <c r="I382" s="3">
        <v>41246</v>
      </c>
      <c r="J382">
        <v>7974</v>
      </c>
      <c r="K382">
        <v>437.2</v>
      </c>
      <c r="L382">
        <v>263.33</v>
      </c>
      <c r="M382">
        <f t="shared" si="45"/>
        <v>3486232.8</v>
      </c>
      <c r="N382">
        <f t="shared" si="46"/>
        <v>2099793.42</v>
      </c>
      <c r="O382">
        <f t="shared" si="47"/>
        <v>1386439.38</v>
      </c>
      <c r="P382" s="6">
        <f t="shared" si="48"/>
        <v>0.39768984446477584</v>
      </c>
      <c r="Q382">
        <f t="shared" si="49"/>
        <v>4</v>
      </c>
      <c r="R382">
        <f t="shared" si="50"/>
        <v>2012</v>
      </c>
      <c r="S382" t="str">
        <f t="shared" si="51"/>
        <v>November</v>
      </c>
      <c r="T382">
        <f t="shared" si="52"/>
        <v>11</v>
      </c>
      <c r="U382" t="str">
        <f t="shared" si="53"/>
        <v>High Profit</v>
      </c>
    </row>
    <row r="383" spans="1:21" x14ac:dyDescent="0.35">
      <c r="A383" s="5" t="s">
        <v>42</v>
      </c>
      <c r="B383" s="5" t="s">
        <v>586</v>
      </c>
      <c r="C383" t="s">
        <v>27</v>
      </c>
      <c r="D383" t="s">
        <v>587</v>
      </c>
      <c r="E383" t="s">
        <v>29</v>
      </c>
      <c r="F383" t="s">
        <v>41</v>
      </c>
      <c r="G383" s="3">
        <v>40179</v>
      </c>
      <c r="H383">
        <v>329530894</v>
      </c>
      <c r="I383" s="3">
        <v>40222</v>
      </c>
      <c r="J383">
        <v>4369</v>
      </c>
      <c r="K383">
        <v>154.06</v>
      </c>
      <c r="L383">
        <v>90.93</v>
      </c>
      <c r="M383">
        <f t="shared" si="45"/>
        <v>673088.14</v>
      </c>
      <c r="N383">
        <f t="shared" si="46"/>
        <v>397273.17000000004</v>
      </c>
      <c r="O383">
        <f t="shared" si="47"/>
        <v>275814.96999999997</v>
      </c>
      <c r="P383" s="6">
        <f t="shared" si="48"/>
        <v>0.40977541217707381</v>
      </c>
      <c r="Q383">
        <f t="shared" si="49"/>
        <v>43</v>
      </c>
      <c r="R383">
        <f t="shared" si="50"/>
        <v>2010</v>
      </c>
      <c r="S383" t="str">
        <f t="shared" si="51"/>
        <v>January</v>
      </c>
      <c r="T383">
        <f t="shared" si="52"/>
        <v>1</v>
      </c>
      <c r="U383" t="str">
        <f t="shared" si="53"/>
        <v>Medium Profit</v>
      </c>
    </row>
    <row r="384" spans="1:21" x14ac:dyDescent="0.35">
      <c r="A384" s="5" t="s">
        <v>19</v>
      </c>
      <c r="B384" s="5" t="s">
        <v>118</v>
      </c>
      <c r="C384" t="s">
        <v>92</v>
      </c>
      <c r="D384" t="s">
        <v>588</v>
      </c>
      <c r="E384" t="s">
        <v>29</v>
      </c>
      <c r="F384" t="s">
        <v>41</v>
      </c>
      <c r="G384" s="3">
        <v>42375</v>
      </c>
      <c r="H384">
        <v>867222821</v>
      </c>
      <c r="I384" s="3">
        <v>42406</v>
      </c>
      <c r="J384">
        <v>9359</v>
      </c>
      <c r="K384">
        <v>421.89</v>
      </c>
      <c r="L384">
        <v>364.69</v>
      </c>
      <c r="M384">
        <f t="shared" si="45"/>
        <v>3948468.51</v>
      </c>
      <c r="N384">
        <f t="shared" si="46"/>
        <v>3413133.71</v>
      </c>
      <c r="O384">
        <f t="shared" si="47"/>
        <v>535334.79999999981</v>
      </c>
      <c r="P384" s="6">
        <f t="shared" si="48"/>
        <v>0.13558036455000114</v>
      </c>
      <c r="Q384">
        <f t="shared" si="49"/>
        <v>31</v>
      </c>
      <c r="R384">
        <f t="shared" si="50"/>
        <v>2016</v>
      </c>
      <c r="S384" t="str">
        <f t="shared" si="51"/>
        <v>January</v>
      </c>
      <c r="T384">
        <f t="shared" si="52"/>
        <v>1</v>
      </c>
      <c r="U384" t="str">
        <f t="shared" si="53"/>
        <v>High Profit</v>
      </c>
    </row>
    <row r="385" spans="1:21" x14ac:dyDescent="0.35">
      <c r="A385" s="5" t="s">
        <v>37</v>
      </c>
      <c r="B385" s="5" t="s">
        <v>384</v>
      </c>
      <c r="C385" t="s">
        <v>72</v>
      </c>
      <c r="D385" t="s">
        <v>589</v>
      </c>
      <c r="E385" t="s">
        <v>29</v>
      </c>
      <c r="F385" t="s">
        <v>24</v>
      </c>
      <c r="G385" s="3">
        <v>41926</v>
      </c>
      <c r="H385">
        <v>625283706</v>
      </c>
      <c r="I385" s="3">
        <v>41935</v>
      </c>
      <c r="J385">
        <v>4199</v>
      </c>
      <c r="K385">
        <v>47.45</v>
      </c>
      <c r="L385">
        <v>31.79</v>
      </c>
      <c r="M385">
        <f t="shared" si="45"/>
        <v>199242.55000000002</v>
      </c>
      <c r="N385">
        <f t="shared" si="46"/>
        <v>133486.21</v>
      </c>
      <c r="O385">
        <f t="shared" si="47"/>
        <v>65756.340000000026</v>
      </c>
      <c r="P385" s="6">
        <f t="shared" si="48"/>
        <v>0.33003161222339317</v>
      </c>
      <c r="Q385">
        <f t="shared" si="49"/>
        <v>9</v>
      </c>
      <c r="R385">
        <f t="shared" si="50"/>
        <v>2014</v>
      </c>
      <c r="S385" t="str">
        <f t="shared" si="51"/>
        <v>October</v>
      </c>
      <c r="T385">
        <f t="shared" si="52"/>
        <v>10</v>
      </c>
      <c r="U385" t="str">
        <f t="shared" si="53"/>
        <v>Low Profit</v>
      </c>
    </row>
    <row r="386" spans="1:21" x14ac:dyDescent="0.35">
      <c r="A386" s="5" t="s">
        <v>19</v>
      </c>
      <c r="B386" s="5" t="s">
        <v>452</v>
      </c>
      <c r="C386" t="s">
        <v>69</v>
      </c>
      <c r="D386" t="s">
        <v>590</v>
      </c>
      <c r="E386" t="s">
        <v>23</v>
      </c>
      <c r="F386" t="s">
        <v>32</v>
      </c>
      <c r="G386" s="3">
        <v>41617</v>
      </c>
      <c r="H386">
        <v>936574876</v>
      </c>
      <c r="I386" s="3">
        <v>41648</v>
      </c>
      <c r="J386">
        <v>2173</v>
      </c>
      <c r="K386">
        <v>651.21</v>
      </c>
      <c r="L386">
        <v>524.96</v>
      </c>
      <c r="M386">
        <f t="shared" si="45"/>
        <v>1415079.33</v>
      </c>
      <c r="N386">
        <f t="shared" si="46"/>
        <v>1140738.08</v>
      </c>
      <c r="O386">
        <f t="shared" si="47"/>
        <v>274341.25</v>
      </c>
      <c r="P386" s="6">
        <f t="shared" si="48"/>
        <v>0.19386987300563566</v>
      </c>
      <c r="Q386">
        <f t="shared" si="49"/>
        <v>31</v>
      </c>
      <c r="R386">
        <f t="shared" si="50"/>
        <v>2013</v>
      </c>
      <c r="S386" t="str">
        <f t="shared" si="51"/>
        <v>December</v>
      </c>
      <c r="T386">
        <f t="shared" si="52"/>
        <v>12</v>
      </c>
      <c r="U386" t="str">
        <f t="shared" si="53"/>
        <v>Medium Profit</v>
      </c>
    </row>
    <row r="387" spans="1:21" x14ac:dyDescent="0.35">
      <c r="A387" s="5" t="s">
        <v>33</v>
      </c>
      <c r="B387" s="5" t="s">
        <v>202</v>
      </c>
      <c r="C387" t="s">
        <v>35</v>
      </c>
      <c r="D387" t="s">
        <v>591</v>
      </c>
      <c r="E387" t="s">
        <v>23</v>
      </c>
      <c r="F387" t="s">
        <v>24</v>
      </c>
      <c r="G387" s="3">
        <v>40470</v>
      </c>
      <c r="H387">
        <v>504270160</v>
      </c>
      <c r="I387" s="3">
        <v>40507</v>
      </c>
      <c r="J387">
        <v>3601</v>
      </c>
      <c r="K387">
        <v>205.7</v>
      </c>
      <c r="L387">
        <v>117.11</v>
      </c>
      <c r="M387">
        <f t="shared" ref="M387:M450" si="54">J387*K387</f>
        <v>740725.7</v>
      </c>
      <c r="N387">
        <f t="shared" ref="N387:N450" si="55">J387*L387</f>
        <v>421713.11</v>
      </c>
      <c r="O387">
        <f t="shared" ref="O387:O450" si="56">M387-N387</f>
        <v>319012.58999999997</v>
      </c>
      <c r="P387" s="6">
        <f t="shared" ref="P387:P450" si="57">O387/M387</f>
        <v>0.43067574137092851</v>
      </c>
      <c r="Q387">
        <f t="shared" ref="Q387:Q450" si="58">I387-G387</f>
        <v>37</v>
      </c>
      <c r="R387">
        <f t="shared" ref="R387:R450" si="59">YEAR(G387)</f>
        <v>2010</v>
      </c>
      <c r="S387" t="str">
        <f t="shared" ref="S387:S450" si="60">TEXT(G387,"mmmm")</f>
        <v>October</v>
      </c>
      <c r="T387">
        <f t="shared" ref="T387:T450" si="61">MONTH(G387)</f>
        <v>10</v>
      </c>
      <c r="U387" t="str">
        <f t="shared" ref="U387:U450" si="62">IF(O387&gt;=500000,"High Profit",
IF(O387&gt;=100000,"Medium Profit","Low Profit"))</f>
        <v>Medium Profit</v>
      </c>
    </row>
    <row r="388" spans="1:21" x14ac:dyDescent="0.35">
      <c r="A388" s="5" t="s">
        <v>37</v>
      </c>
      <c r="B388" s="5" t="s">
        <v>208</v>
      </c>
      <c r="C388" t="s">
        <v>83</v>
      </c>
      <c r="D388" t="s">
        <v>592</v>
      </c>
      <c r="E388" t="s">
        <v>23</v>
      </c>
      <c r="F388" t="s">
        <v>24</v>
      </c>
      <c r="G388" s="3">
        <v>40665</v>
      </c>
      <c r="H388">
        <v>351855885</v>
      </c>
      <c r="I388" s="3">
        <v>40696</v>
      </c>
      <c r="J388">
        <v>830</v>
      </c>
      <c r="K388">
        <v>81.73</v>
      </c>
      <c r="L388">
        <v>56.67</v>
      </c>
      <c r="M388">
        <f t="shared" si="54"/>
        <v>67835.900000000009</v>
      </c>
      <c r="N388">
        <f t="shared" si="55"/>
        <v>47036.1</v>
      </c>
      <c r="O388">
        <f t="shared" si="56"/>
        <v>20799.80000000001</v>
      </c>
      <c r="P388" s="6">
        <f t="shared" si="57"/>
        <v>0.30661935641747229</v>
      </c>
      <c r="Q388">
        <f t="shared" si="58"/>
        <v>31</v>
      </c>
      <c r="R388">
        <f t="shared" si="59"/>
        <v>2011</v>
      </c>
      <c r="S388" t="str">
        <f t="shared" si="60"/>
        <v>May</v>
      </c>
      <c r="T388">
        <f t="shared" si="61"/>
        <v>5</v>
      </c>
      <c r="U388" t="str">
        <f t="shared" si="62"/>
        <v>Low Profit</v>
      </c>
    </row>
    <row r="389" spans="1:21" x14ac:dyDescent="0.35">
      <c r="A389" s="5" t="s">
        <v>53</v>
      </c>
      <c r="B389" s="5" t="s">
        <v>54</v>
      </c>
      <c r="C389" t="s">
        <v>58</v>
      </c>
      <c r="D389" t="s">
        <v>593</v>
      </c>
      <c r="E389" t="s">
        <v>29</v>
      </c>
      <c r="F389" t="s">
        <v>41</v>
      </c>
      <c r="G389" s="3">
        <v>40619</v>
      </c>
      <c r="H389">
        <v>673130881</v>
      </c>
      <c r="I389" s="3">
        <v>40625</v>
      </c>
      <c r="J389">
        <v>3241</v>
      </c>
      <c r="K389">
        <v>152.58000000000001</v>
      </c>
      <c r="L389">
        <v>97.44</v>
      </c>
      <c r="M389">
        <f t="shared" si="54"/>
        <v>494511.78</v>
      </c>
      <c r="N389">
        <f t="shared" si="55"/>
        <v>315803.03999999998</v>
      </c>
      <c r="O389">
        <f t="shared" si="56"/>
        <v>178708.74000000005</v>
      </c>
      <c r="P389" s="6">
        <f t="shared" si="57"/>
        <v>0.36138419189933157</v>
      </c>
      <c r="Q389">
        <f t="shared" si="58"/>
        <v>6</v>
      </c>
      <c r="R389">
        <f t="shared" si="59"/>
        <v>2011</v>
      </c>
      <c r="S389" t="str">
        <f t="shared" si="60"/>
        <v>March</v>
      </c>
      <c r="T389">
        <f t="shared" si="61"/>
        <v>3</v>
      </c>
      <c r="U389" t="str">
        <f t="shared" si="62"/>
        <v>Medium Profit</v>
      </c>
    </row>
    <row r="390" spans="1:21" x14ac:dyDescent="0.35">
      <c r="A390" s="5" t="s">
        <v>42</v>
      </c>
      <c r="B390" s="5" t="s">
        <v>267</v>
      </c>
      <c r="C390" t="s">
        <v>69</v>
      </c>
      <c r="D390" t="s">
        <v>594</v>
      </c>
      <c r="E390" t="s">
        <v>23</v>
      </c>
      <c r="F390" t="s">
        <v>41</v>
      </c>
      <c r="G390" s="3">
        <v>41906</v>
      </c>
      <c r="H390">
        <v>382206475</v>
      </c>
      <c r="I390" s="3">
        <v>41925</v>
      </c>
      <c r="J390">
        <v>2244</v>
      </c>
      <c r="K390">
        <v>651.21</v>
      </c>
      <c r="L390">
        <v>524.96</v>
      </c>
      <c r="M390">
        <f t="shared" si="54"/>
        <v>1461315.24</v>
      </c>
      <c r="N390">
        <f t="shared" si="55"/>
        <v>1178010.24</v>
      </c>
      <c r="O390">
        <f t="shared" si="56"/>
        <v>283305</v>
      </c>
      <c r="P390" s="6">
        <f t="shared" si="57"/>
        <v>0.19386987300563566</v>
      </c>
      <c r="Q390">
        <f t="shared" si="58"/>
        <v>19</v>
      </c>
      <c r="R390">
        <f t="shared" si="59"/>
        <v>2014</v>
      </c>
      <c r="S390" t="str">
        <f t="shared" si="60"/>
        <v>September</v>
      </c>
      <c r="T390">
        <f t="shared" si="61"/>
        <v>9</v>
      </c>
      <c r="U390" t="str">
        <f t="shared" si="62"/>
        <v>Medium Profit</v>
      </c>
    </row>
    <row r="391" spans="1:21" x14ac:dyDescent="0.35">
      <c r="A391" s="5" t="s">
        <v>19</v>
      </c>
      <c r="B391" s="5" t="s">
        <v>182</v>
      </c>
      <c r="C391" t="s">
        <v>35</v>
      </c>
      <c r="D391" t="s">
        <v>595</v>
      </c>
      <c r="E391" t="s">
        <v>29</v>
      </c>
      <c r="F391" t="s">
        <v>41</v>
      </c>
      <c r="G391" s="3">
        <v>42339</v>
      </c>
      <c r="H391">
        <v>263506495</v>
      </c>
      <c r="I391" s="3">
        <v>42352</v>
      </c>
      <c r="J391">
        <v>6283</v>
      </c>
      <c r="K391">
        <v>205.7</v>
      </c>
      <c r="L391">
        <v>117.11</v>
      </c>
      <c r="M391">
        <f t="shared" si="54"/>
        <v>1292413.0999999999</v>
      </c>
      <c r="N391">
        <f t="shared" si="55"/>
        <v>735802.13</v>
      </c>
      <c r="O391">
        <f t="shared" si="56"/>
        <v>556610.96999999986</v>
      </c>
      <c r="P391" s="6">
        <f t="shared" si="57"/>
        <v>0.43067574137092846</v>
      </c>
      <c r="Q391">
        <f t="shared" si="58"/>
        <v>13</v>
      </c>
      <c r="R391">
        <f t="shared" si="59"/>
        <v>2015</v>
      </c>
      <c r="S391" t="str">
        <f t="shared" si="60"/>
        <v>December</v>
      </c>
      <c r="T391">
        <f t="shared" si="61"/>
        <v>12</v>
      </c>
      <c r="U391" t="str">
        <f t="shared" si="62"/>
        <v>High Profit</v>
      </c>
    </row>
    <row r="392" spans="1:21" x14ac:dyDescent="0.35">
      <c r="A392" s="5" t="s">
        <v>42</v>
      </c>
      <c r="B392" s="5" t="s">
        <v>424</v>
      </c>
      <c r="C392" t="s">
        <v>35</v>
      </c>
      <c r="D392" t="s">
        <v>596</v>
      </c>
      <c r="E392" t="s">
        <v>23</v>
      </c>
      <c r="F392" t="s">
        <v>66</v>
      </c>
      <c r="G392" s="3">
        <v>42888</v>
      </c>
      <c r="H392">
        <v>721767270</v>
      </c>
      <c r="I392" s="3">
        <v>42934</v>
      </c>
      <c r="J392">
        <v>5829</v>
      </c>
      <c r="K392">
        <v>205.7</v>
      </c>
      <c r="L392">
        <v>117.11</v>
      </c>
      <c r="M392">
        <f t="shared" si="54"/>
        <v>1199025.3</v>
      </c>
      <c r="N392">
        <f t="shared" si="55"/>
        <v>682634.19</v>
      </c>
      <c r="O392">
        <f t="shared" si="56"/>
        <v>516391.1100000001</v>
      </c>
      <c r="P392" s="6">
        <f t="shared" si="57"/>
        <v>0.43067574137092862</v>
      </c>
      <c r="Q392">
        <f t="shared" si="58"/>
        <v>46</v>
      </c>
      <c r="R392">
        <f t="shared" si="59"/>
        <v>2017</v>
      </c>
      <c r="S392" t="str">
        <f t="shared" si="60"/>
        <v>June</v>
      </c>
      <c r="T392">
        <f t="shared" si="61"/>
        <v>6</v>
      </c>
      <c r="U392" t="str">
        <f t="shared" si="62"/>
        <v>High Profit</v>
      </c>
    </row>
    <row r="393" spans="1:21" x14ac:dyDescent="0.35">
      <c r="A393" s="5" t="s">
        <v>19</v>
      </c>
      <c r="B393" s="5" t="s">
        <v>176</v>
      </c>
      <c r="C393" t="s">
        <v>21</v>
      </c>
      <c r="D393" t="s">
        <v>597</v>
      </c>
      <c r="E393" t="s">
        <v>29</v>
      </c>
      <c r="F393" t="s">
        <v>24</v>
      </c>
      <c r="G393" s="3">
        <v>40759</v>
      </c>
      <c r="H393">
        <v>432037627</v>
      </c>
      <c r="I393" s="3">
        <v>40773</v>
      </c>
      <c r="J393">
        <v>8390</v>
      </c>
      <c r="K393">
        <v>437.2</v>
      </c>
      <c r="L393">
        <v>263.33</v>
      </c>
      <c r="M393">
        <f t="shared" si="54"/>
        <v>3668108</v>
      </c>
      <c r="N393">
        <f t="shared" si="55"/>
        <v>2209338.6999999997</v>
      </c>
      <c r="O393">
        <f t="shared" si="56"/>
        <v>1458769.3000000003</v>
      </c>
      <c r="P393" s="6">
        <f t="shared" si="57"/>
        <v>0.3976898444647759</v>
      </c>
      <c r="Q393">
        <f t="shared" si="58"/>
        <v>14</v>
      </c>
      <c r="R393">
        <f t="shared" si="59"/>
        <v>2011</v>
      </c>
      <c r="S393" t="str">
        <f t="shared" si="60"/>
        <v>August</v>
      </c>
      <c r="T393">
        <f t="shared" si="61"/>
        <v>8</v>
      </c>
      <c r="U393" t="str">
        <f t="shared" si="62"/>
        <v>High Profit</v>
      </c>
    </row>
    <row r="394" spans="1:21" x14ac:dyDescent="0.35">
      <c r="A394" s="5" t="s">
        <v>53</v>
      </c>
      <c r="B394" s="5" t="s">
        <v>206</v>
      </c>
      <c r="C394" t="s">
        <v>92</v>
      </c>
      <c r="D394" t="s">
        <v>598</v>
      </c>
      <c r="E394" t="s">
        <v>23</v>
      </c>
      <c r="F394" t="s">
        <v>32</v>
      </c>
      <c r="G394" s="3">
        <v>41849</v>
      </c>
      <c r="H394">
        <v>389678895</v>
      </c>
      <c r="I394" s="3">
        <v>41875</v>
      </c>
      <c r="J394">
        <v>3499</v>
      </c>
      <c r="K394">
        <v>421.89</v>
      </c>
      <c r="L394">
        <v>364.69</v>
      </c>
      <c r="M394">
        <f t="shared" si="54"/>
        <v>1476193.1099999999</v>
      </c>
      <c r="N394">
        <f t="shared" si="55"/>
        <v>1276050.31</v>
      </c>
      <c r="O394">
        <f t="shared" si="56"/>
        <v>200142.79999999981</v>
      </c>
      <c r="P394" s="6">
        <f t="shared" si="57"/>
        <v>0.13558036455000108</v>
      </c>
      <c r="Q394">
        <f t="shared" si="58"/>
        <v>26</v>
      </c>
      <c r="R394">
        <f t="shared" si="59"/>
        <v>2014</v>
      </c>
      <c r="S394" t="str">
        <f t="shared" si="60"/>
        <v>July</v>
      </c>
      <c r="T394">
        <f t="shared" si="61"/>
        <v>7</v>
      </c>
      <c r="U394" t="str">
        <f t="shared" si="62"/>
        <v>Medium Profit</v>
      </c>
    </row>
    <row r="395" spans="1:21" x14ac:dyDescent="0.35">
      <c r="A395" s="5" t="s">
        <v>42</v>
      </c>
      <c r="B395" s="5" t="s">
        <v>390</v>
      </c>
      <c r="C395" t="s">
        <v>92</v>
      </c>
      <c r="D395" t="s">
        <v>599</v>
      </c>
      <c r="E395" t="s">
        <v>29</v>
      </c>
      <c r="F395" t="s">
        <v>66</v>
      </c>
      <c r="G395" s="3">
        <v>42761</v>
      </c>
      <c r="H395">
        <v>760364902</v>
      </c>
      <c r="I395" s="3">
        <v>42790</v>
      </c>
      <c r="J395">
        <v>7726</v>
      </c>
      <c r="K395">
        <v>421.89</v>
      </c>
      <c r="L395">
        <v>364.69</v>
      </c>
      <c r="M395">
        <f t="shared" si="54"/>
        <v>3259522.1399999997</v>
      </c>
      <c r="N395">
        <f t="shared" si="55"/>
        <v>2817594.94</v>
      </c>
      <c r="O395">
        <f t="shared" si="56"/>
        <v>441927.19999999972</v>
      </c>
      <c r="P395" s="6">
        <f t="shared" si="57"/>
        <v>0.13558036455000111</v>
      </c>
      <c r="Q395">
        <f t="shared" si="58"/>
        <v>29</v>
      </c>
      <c r="R395">
        <f t="shared" si="59"/>
        <v>2017</v>
      </c>
      <c r="S395" t="str">
        <f t="shared" si="60"/>
        <v>January</v>
      </c>
      <c r="T395">
        <f t="shared" si="61"/>
        <v>1</v>
      </c>
      <c r="U395" t="str">
        <f t="shared" si="62"/>
        <v>Medium Profit</v>
      </c>
    </row>
    <row r="396" spans="1:21" x14ac:dyDescent="0.35">
      <c r="A396" s="5" t="s">
        <v>37</v>
      </c>
      <c r="B396" s="5" t="s">
        <v>38</v>
      </c>
      <c r="C396" t="s">
        <v>39</v>
      </c>
      <c r="D396" t="s">
        <v>600</v>
      </c>
      <c r="E396" t="s">
        <v>23</v>
      </c>
      <c r="F396" t="s">
        <v>32</v>
      </c>
      <c r="G396" s="3">
        <v>40487</v>
      </c>
      <c r="H396">
        <v>430081975</v>
      </c>
      <c r="I396" s="3">
        <v>40521</v>
      </c>
      <c r="J396">
        <v>9669</v>
      </c>
      <c r="K396">
        <v>9.33</v>
      </c>
      <c r="L396">
        <v>6.92</v>
      </c>
      <c r="M396">
        <f t="shared" si="54"/>
        <v>90211.77</v>
      </c>
      <c r="N396">
        <f t="shared" si="55"/>
        <v>66909.48</v>
      </c>
      <c r="O396">
        <f t="shared" si="56"/>
        <v>23302.290000000008</v>
      </c>
      <c r="P396" s="6">
        <f t="shared" si="57"/>
        <v>0.25830653804930342</v>
      </c>
      <c r="Q396">
        <f t="shared" si="58"/>
        <v>34</v>
      </c>
      <c r="R396">
        <f t="shared" si="59"/>
        <v>2010</v>
      </c>
      <c r="S396" t="str">
        <f t="shared" si="60"/>
        <v>November</v>
      </c>
      <c r="T396">
        <f t="shared" si="61"/>
        <v>11</v>
      </c>
      <c r="U396" t="str">
        <f t="shared" si="62"/>
        <v>Low Profit</v>
      </c>
    </row>
    <row r="397" spans="1:21" x14ac:dyDescent="0.35">
      <c r="A397" s="5" t="s">
        <v>33</v>
      </c>
      <c r="B397" s="5" t="s">
        <v>439</v>
      </c>
      <c r="C397" t="s">
        <v>30</v>
      </c>
      <c r="D397" t="s">
        <v>601</v>
      </c>
      <c r="E397" t="s">
        <v>29</v>
      </c>
      <c r="F397" t="s">
        <v>41</v>
      </c>
      <c r="G397" s="3">
        <v>42089</v>
      </c>
      <c r="H397">
        <v>155128943</v>
      </c>
      <c r="I397" s="3">
        <v>42129</v>
      </c>
      <c r="J397">
        <v>4957</v>
      </c>
      <c r="K397">
        <v>255.28</v>
      </c>
      <c r="L397">
        <v>159.41999999999999</v>
      </c>
      <c r="M397">
        <f t="shared" si="54"/>
        <v>1265422.96</v>
      </c>
      <c r="N397">
        <f t="shared" si="55"/>
        <v>790244.94</v>
      </c>
      <c r="O397">
        <f t="shared" si="56"/>
        <v>475178.02</v>
      </c>
      <c r="P397" s="6">
        <f t="shared" si="57"/>
        <v>0.37550924475086184</v>
      </c>
      <c r="Q397">
        <f t="shared" si="58"/>
        <v>40</v>
      </c>
      <c r="R397">
        <f t="shared" si="59"/>
        <v>2015</v>
      </c>
      <c r="S397" t="str">
        <f t="shared" si="60"/>
        <v>March</v>
      </c>
      <c r="T397">
        <f t="shared" si="61"/>
        <v>3</v>
      </c>
      <c r="U397" t="str">
        <f t="shared" si="62"/>
        <v>Medium Profit</v>
      </c>
    </row>
    <row r="398" spans="1:21" x14ac:dyDescent="0.35">
      <c r="A398" s="5" t="s">
        <v>42</v>
      </c>
      <c r="B398" s="5" t="s">
        <v>174</v>
      </c>
      <c r="C398" t="s">
        <v>48</v>
      </c>
      <c r="D398" t="s">
        <v>602</v>
      </c>
      <c r="E398" t="s">
        <v>23</v>
      </c>
      <c r="F398" t="s">
        <v>41</v>
      </c>
      <c r="G398" s="3">
        <v>41189</v>
      </c>
      <c r="H398">
        <v>312117135</v>
      </c>
      <c r="I398" s="3">
        <v>41198</v>
      </c>
      <c r="J398">
        <v>1251</v>
      </c>
      <c r="K398">
        <v>109.28</v>
      </c>
      <c r="L398">
        <v>35.840000000000003</v>
      </c>
      <c r="M398">
        <f t="shared" si="54"/>
        <v>136709.28</v>
      </c>
      <c r="N398">
        <f t="shared" si="55"/>
        <v>44835.840000000004</v>
      </c>
      <c r="O398">
        <f t="shared" si="56"/>
        <v>91873.44</v>
      </c>
      <c r="P398" s="6">
        <f t="shared" si="57"/>
        <v>0.67203513909224011</v>
      </c>
      <c r="Q398">
        <f t="shared" si="58"/>
        <v>9</v>
      </c>
      <c r="R398">
        <f t="shared" si="59"/>
        <v>2012</v>
      </c>
      <c r="S398" t="str">
        <f t="shared" si="60"/>
        <v>October</v>
      </c>
      <c r="T398">
        <f t="shared" si="61"/>
        <v>10</v>
      </c>
      <c r="U398" t="str">
        <f t="shared" si="62"/>
        <v>Low Profit</v>
      </c>
    </row>
    <row r="399" spans="1:21" x14ac:dyDescent="0.35">
      <c r="A399" s="5" t="s">
        <v>50</v>
      </c>
      <c r="B399" s="5" t="s">
        <v>263</v>
      </c>
      <c r="C399" t="s">
        <v>92</v>
      </c>
      <c r="D399" t="s">
        <v>603</v>
      </c>
      <c r="E399" t="s">
        <v>23</v>
      </c>
      <c r="F399" t="s">
        <v>66</v>
      </c>
      <c r="G399" s="3">
        <v>41477</v>
      </c>
      <c r="H399">
        <v>447970378</v>
      </c>
      <c r="I399" s="3">
        <v>41519</v>
      </c>
      <c r="J399">
        <v>3245</v>
      </c>
      <c r="K399">
        <v>421.89</v>
      </c>
      <c r="L399">
        <v>364.69</v>
      </c>
      <c r="M399">
        <f t="shared" si="54"/>
        <v>1369033.05</v>
      </c>
      <c r="N399">
        <f t="shared" si="55"/>
        <v>1183419.05</v>
      </c>
      <c r="O399">
        <f t="shared" si="56"/>
        <v>185614</v>
      </c>
      <c r="P399" s="6">
        <f t="shared" si="57"/>
        <v>0.13558036455000119</v>
      </c>
      <c r="Q399">
        <f t="shared" si="58"/>
        <v>42</v>
      </c>
      <c r="R399">
        <f t="shared" si="59"/>
        <v>2013</v>
      </c>
      <c r="S399" t="str">
        <f t="shared" si="60"/>
        <v>July</v>
      </c>
      <c r="T399">
        <f t="shared" si="61"/>
        <v>7</v>
      </c>
      <c r="U399" t="str">
        <f t="shared" si="62"/>
        <v>Medium Profit</v>
      </c>
    </row>
    <row r="400" spans="1:21" x14ac:dyDescent="0.35">
      <c r="A400" s="5" t="s">
        <v>33</v>
      </c>
      <c r="B400" s="5" t="s">
        <v>34</v>
      </c>
      <c r="C400" t="s">
        <v>21</v>
      </c>
      <c r="D400" t="s">
        <v>604</v>
      </c>
      <c r="E400" t="s">
        <v>23</v>
      </c>
      <c r="F400" t="s">
        <v>32</v>
      </c>
      <c r="G400" s="3">
        <v>41502</v>
      </c>
      <c r="H400">
        <v>629925000</v>
      </c>
      <c r="I400" s="3">
        <v>41504</v>
      </c>
      <c r="J400">
        <v>7661</v>
      </c>
      <c r="K400">
        <v>437.2</v>
      </c>
      <c r="L400">
        <v>263.33</v>
      </c>
      <c r="M400">
        <f t="shared" si="54"/>
        <v>3349389.1999999997</v>
      </c>
      <c r="N400">
        <f t="shared" si="55"/>
        <v>2017371.13</v>
      </c>
      <c r="O400">
        <f t="shared" si="56"/>
        <v>1332018.0699999998</v>
      </c>
      <c r="P400" s="6">
        <f t="shared" si="57"/>
        <v>0.39768984446477584</v>
      </c>
      <c r="Q400">
        <f t="shared" si="58"/>
        <v>2</v>
      </c>
      <c r="R400">
        <f t="shared" si="59"/>
        <v>2013</v>
      </c>
      <c r="S400" t="str">
        <f t="shared" si="60"/>
        <v>August</v>
      </c>
      <c r="T400">
        <f t="shared" si="61"/>
        <v>8</v>
      </c>
      <c r="U400" t="str">
        <f t="shared" si="62"/>
        <v>High Profit</v>
      </c>
    </row>
    <row r="401" spans="1:21" x14ac:dyDescent="0.35">
      <c r="A401" s="5" t="s">
        <v>33</v>
      </c>
      <c r="B401" s="5" t="s">
        <v>168</v>
      </c>
      <c r="C401" t="s">
        <v>83</v>
      </c>
      <c r="D401" t="s">
        <v>605</v>
      </c>
      <c r="E401" t="s">
        <v>23</v>
      </c>
      <c r="F401" t="s">
        <v>66</v>
      </c>
      <c r="G401" s="3">
        <v>41583</v>
      </c>
      <c r="H401">
        <v>995529830</v>
      </c>
      <c r="I401" s="3">
        <v>41625</v>
      </c>
      <c r="J401">
        <v>8254</v>
      </c>
      <c r="K401">
        <v>81.73</v>
      </c>
      <c r="L401">
        <v>56.67</v>
      </c>
      <c r="M401">
        <f t="shared" si="54"/>
        <v>674599.42</v>
      </c>
      <c r="N401">
        <f t="shared" si="55"/>
        <v>467754.18</v>
      </c>
      <c r="O401">
        <f t="shared" si="56"/>
        <v>206845.24000000005</v>
      </c>
      <c r="P401" s="6">
        <f t="shared" si="57"/>
        <v>0.30661935641747223</v>
      </c>
      <c r="Q401">
        <f t="shared" si="58"/>
        <v>42</v>
      </c>
      <c r="R401">
        <f t="shared" si="59"/>
        <v>2013</v>
      </c>
      <c r="S401" t="str">
        <f t="shared" si="60"/>
        <v>November</v>
      </c>
      <c r="T401">
        <f t="shared" si="61"/>
        <v>11</v>
      </c>
      <c r="U401" t="str">
        <f t="shared" si="62"/>
        <v>Medium Profit</v>
      </c>
    </row>
    <row r="402" spans="1:21" x14ac:dyDescent="0.35">
      <c r="A402" s="5" t="s">
        <v>53</v>
      </c>
      <c r="B402" s="5" t="s">
        <v>131</v>
      </c>
      <c r="C402" t="s">
        <v>69</v>
      </c>
      <c r="D402" t="s">
        <v>606</v>
      </c>
      <c r="E402" t="s">
        <v>29</v>
      </c>
      <c r="F402" t="s">
        <v>66</v>
      </c>
      <c r="G402" s="3">
        <v>42430</v>
      </c>
      <c r="H402">
        <v>402646195</v>
      </c>
      <c r="I402" s="3">
        <v>42457</v>
      </c>
      <c r="J402">
        <v>812</v>
      </c>
      <c r="K402">
        <v>651.21</v>
      </c>
      <c r="L402">
        <v>524.96</v>
      </c>
      <c r="M402">
        <f t="shared" si="54"/>
        <v>528782.52</v>
      </c>
      <c r="N402">
        <f t="shared" si="55"/>
        <v>426267.52</v>
      </c>
      <c r="O402">
        <f t="shared" si="56"/>
        <v>102515</v>
      </c>
      <c r="P402" s="6">
        <f t="shared" si="57"/>
        <v>0.19386987300563566</v>
      </c>
      <c r="Q402">
        <f t="shared" si="58"/>
        <v>27</v>
      </c>
      <c r="R402">
        <f t="shared" si="59"/>
        <v>2016</v>
      </c>
      <c r="S402" t="str">
        <f t="shared" si="60"/>
        <v>March</v>
      </c>
      <c r="T402">
        <f t="shared" si="61"/>
        <v>3</v>
      </c>
      <c r="U402" t="str">
        <f t="shared" si="62"/>
        <v>Medium Profit</v>
      </c>
    </row>
    <row r="403" spans="1:21" x14ac:dyDescent="0.35">
      <c r="A403" s="5" t="s">
        <v>37</v>
      </c>
      <c r="B403" s="5" t="s">
        <v>38</v>
      </c>
      <c r="C403" t="s">
        <v>92</v>
      </c>
      <c r="D403" t="s">
        <v>607</v>
      </c>
      <c r="E403" t="s">
        <v>23</v>
      </c>
      <c r="F403" t="s">
        <v>24</v>
      </c>
      <c r="G403" s="3">
        <v>40993</v>
      </c>
      <c r="H403">
        <v>479447925</v>
      </c>
      <c r="I403" s="3">
        <v>41003</v>
      </c>
      <c r="J403">
        <v>8150</v>
      </c>
      <c r="K403">
        <v>421.89</v>
      </c>
      <c r="L403">
        <v>364.69</v>
      </c>
      <c r="M403">
        <f t="shared" si="54"/>
        <v>3438403.5</v>
      </c>
      <c r="N403">
        <f t="shared" si="55"/>
        <v>2972223.5</v>
      </c>
      <c r="O403">
        <f t="shared" si="56"/>
        <v>466180</v>
      </c>
      <c r="P403" s="6">
        <f t="shared" si="57"/>
        <v>0.13558036455000119</v>
      </c>
      <c r="Q403">
        <f t="shared" si="58"/>
        <v>10</v>
      </c>
      <c r="R403">
        <f t="shared" si="59"/>
        <v>2012</v>
      </c>
      <c r="S403" t="str">
        <f t="shared" si="60"/>
        <v>March</v>
      </c>
      <c r="T403">
        <f t="shared" si="61"/>
        <v>3</v>
      </c>
      <c r="U403" t="str">
        <f t="shared" si="62"/>
        <v>Medium Profit</v>
      </c>
    </row>
    <row r="404" spans="1:21" x14ac:dyDescent="0.35">
      <c r="A404" s="5" t="s">
        <v>37</v>
      </c>
      <c r="B404" s="5" t="s">
        <v>225</v>
      </c>
      <c r="C404" t="s">
        <v>21</v>
      </c>
      <c r="D404" t="s">
        <v>608</v>
      </c>
      <c r="E404" t="s">
        <v>23</v>
      </c>
      <c r="F404" t="s">
        <v>41</v>
      </c>
      <c r="G404" s="3">
        <v>42906</v>
      </c>
      <c r="H404">
        <v>674421346</v>
      </c>
      <c r="I404" s="3">
        <v>42915</v>
      </c>
      <c r="J404">
        <v>5118</v>
      </c>
      <c r="K404">
        <v>437.2</v>
      </c>
      <c r="L404">
        <v>263.33</v>
      </c>
      <c r="M404">
        <f t="shared" si="54"/>
        <v>2237589.6</v>
      </c>
      <c r="N404">
        <f t="shared" si="55"/>
        <v>1347722.94</v>
      </c>
      <c r="O404">
        <f t="shared" si="56"/>
        <v>889866.66000000015</v>
      </c>
      <c r="P404" s="6">
        <f t="shared" si="57"/>
        <v>0.3976898444647759</v>
      </c>
      <c r="Q404">
        <f t="shared" si="58"/>
        <v>9</v>
      </c>
      <c r="R404">
        <f t="shared" si="59"/>
        <v>2017</v>
      </c>
      <c r="S404" t="str">
        <f t="shared" si="60"/>
        <v>June</v>
      </c>
      <c r="T404">
        <f t="shared" si="61"/>
        <v>6</v>
      </c>
      <c r="U404" t="str">
        <f t="shared" si="62"/>
        <v>High Profit</v>
      </c>
    </row>
    <row r="405" spans="1:21" x14ac:dyDescent="0.35">
      <c r="A405" s="5" t="s">
        <v>42</v>
      </c>
      <c r="B405" s="5" t="s">
        <v>379</v>
      </c>
      <c r="C405" t="s">
        <v>21</v>
      </c>
      <c r="D405" t="s">
        <v>609</v>
      </c>
      <c r="E405" t="s">
        <v>29</v>
      </c>
      <c r="F405" t="s">
        <v>66</v>
      </c>
      <c r="G405" s="3">
        <v>41747</v>
      </c>
      <c r="H405">
        <v>506365287</v>
      </c>
      <c r="I405" s="3">
        <v>41775</v>
      </c>
      <c r="J405">
        <v>3596</v>
      </c>
      <c r="K405">
        <v>437.2</v>
      </c>
      <c r="L405">
        <v>263.33</v>
      </c>
      <c r="M405">
        <f t="shared" si="54"/>
        <v>1572171.2</v>
      </c>
      <c r="N405">
        <f t="shared" si="55"/>
        <v>946934.67999999993</v>
      </c>
      <c r="O405">
        <f t="shared" si="56"/>
        <v>625236.52</v>
      </c>
      <c r="P405" s="6">
        <f t="shared" si="57"/>
        <v>0.39768984446477584</v>
      </c>
      <c r="Q405">
        <f t="shared" si="58"/>
        <v>28</v>
      </c>
      <c r="R405">
        <f t="shared" si="59"/>
        <v>2014</v>
      </c>
      <c r="S405" t="str">
        <f t="shared" si="60"/>
        <v>April</v>
      </c>
      <c r="T405">
        <f t="shared" si="61"/>
        <v>4</v>
      </c>
      <c r="U405" t="str">
        <f t="shared" si="62"/>
        <v>High Profit</v>
      </c>
    </row>
    <row r="406" spans="1:21" x14ac:dyDescent="0.35">
      <c r="A406" s="5" t="s">
        <v>19</v>
      </c>
      <c r="B406" s="5" t="s">
        <v>118</v>
      </c>
      <c r="C406" t="s">
        <v>48</v>
      </c>
      <c r="D406" t="s">
        <v>610</v>
      </c>
      <c r="E406" t="s">
        <v>29</v>
      </c>
      <c r="F406" t="s">
        <v>32</v>
      </c>
      <c r="G406" s="3">
        <v>42549</v>
      </c>
      <c r="H406">
        <v>914391076</v>
      </c>
      <c r="I406" s="3">
        <v>42586</v>
      </c>
      <c r="J406">
        <v>7494</v>
      </c>
      <c r="K406">
        <v>109.28</v>
      </c>
      <c r="L406">
        <v>35.840000000000003</v>
      </c>
      <c r="M406">
        <f t="shared" si="54"/>
        <v>818944.32000000007</v>
      </c>
      <c r="N406">
        <f t="shared" si="55"/>
        <v>268584.96000000002</v>
      </c>
      <c r="O406">
        <f t="shared" si="56"/>
        <v>550359.3600000001</v>
      </c>
      <c r="P406" s="6">
        <f t="shared" si="57"/>
        <v>0.67203513909224022</v>
      </c>
      <c r="Q406">
        <f t="shared" si="58"/>
        <v>37</v>
      </c>
      <c r="R406">
        <f t="shared" si="59"/>
        <v>2016</v>
      </c>
      <c r="S406" t="str">
        <f t="shared" si="60"/>
        <v>June</v>
      </c>
      <c r="T406">
        <f t="shared" si="61"/>
        <v>6</v>
      </c>
      <c r="U406" t="str">
        <f t="shared" si="62"/>
        <v>High Profit</v>
      </c>
    </row>
    <row r="407" spans="1:21" x14ac:dyDescent="0.35">
      <c r="A407" s="5" t="s">
        <v>37</v>
      </c>
      <c r="B407" s="5" t="s">
        <v>254</v>
      </c>
      <c r="C407" t="s">
        <v>92</v>
      </c>
      <c r="D407" t="s">
        <v>611</v>
      </c>
      <c r="E407" t="s">
        <v>29</v>
      </c>
      <c r="F407" t="s">
        <v>66</v>
      </c>
      <c r="G407" s="3">
        <v>41049</v>
      </c>
      <c r="H407">
        <v>207922542</v>
      </c>
      <c r="I407" s="3">
        <v>41091</v>
      </c>
      <c r="J407">
        <v>7755</v>
      </c>
      <c r="K407">
        <v>421.89</v>
      </c>
      <c r="L407">
        <v>364.69</v>
      </c>
      <c r="M407">
        <f t="shared" si="54"/>
        <v>3271756.9499999997</v>
      </c>
      <c r="N407">
        <f t="shared" si="55"/>
        <v>2828170.95</v>
      </c>
      <c r="O407">
        <f t="shared" si="56"/>
        <v>443585.99999999953</v>
      </c>
      <c r="P407" s="6">
        <f t="shared" si="57"/>
        <v>0.13558036455000105</v>
      </c>
      <c r="Q407">
        <f t="shared" si="58"/>
        <v>42</v>
      </c>
      <c r="R407">
        <f t="shared" si="59"/>
        <v>2012</v>
      </c>
      <c r="S407" t="str">
        <f t="shared" si="60"/>
        <v>May</v>
      </c>
      <c r="T407">
        <f t="shared" si="61"/>
        <v>5</v>
      </c>
      <c r="U407" t="str">
        <f t="shared" si="62"/>
        <v>Medium Profit</v>
      </c>
    </row>
    <row r="408" spans="1:21" x14ac:dyDescent="0.35">
      <c r="A408" s="5" t="s">
        <v>42</v>
      </c>
      <c r="B408" s="5" t="s">
        <v>300</v>
      </c>
      <c r="C408" t="s">
        <v>69</v>
      </c>
      <c r="D408" t="s">
        <v>612</v>
      </c>
      <c r="E408" t="s">
        <v>23</v>
      </c>
      <c r="F408" t="s">
        <v>24</v>
      </c>
      <c r="G408" s="3">
        <v>41674</v>
      </c>
      <c r="H408">
        <v>816696012</v>
      </c>
      <c r="I408" s="3">
        <v>41686</v>
      </c>
      <c r="J408">
        <v>7353</v>
      </c>
      <c r="K408">
        <v>651.21</v>
      </c>
      <c r="L408">
        <v>524.96</v>
      </c>
      <c r="M408">
        <f t="shared" si="54"/>
        <v>4788347.13</v>
      </c>
      <c r="N408">
        <f t="shared" si="55"/>
        <v>3860030.8800000004</v>
      </c>
      <c r="O408">
        <f t="shared" si="56"/>
        <v>928316.24999999953</v>
      </c>
      <c r="P408" s="6">
        <f t="shared" si="57"/>
        <v>0.19386987300563557</v>
      </c>
      <c r="Q408">
        <f t="shared" si="58"/>
        <v>12</v>
      </c>
      <c r="R408">
        <f t="shared" si="59"/>
        <v>2014</v>
      </c>
      <c r="S408" t="str">
        <f t="shared" si="60"/>
        <v>February</v>
      </c>
      <c r="T408">
        <f t="shared" si="61"/>
        <v>2</v>
      </c>
      <c r="U408" t="str">
        <f t="shared" si="62"/>
        <v>High Profit</v>
      </c>
    </row>
    <row r="409" spans="1:21" x14ac:dyDescent="0.35">
      <c r="A409" s="5" t="s">
        <v>42</v>
      </c>
      <c r="B409" s="5" t="s">
        <v>414</v>
      </c>
      <c r="C409" t="s">
        <v>72</v>
      </c>
      <c r="D409" t="s">
        <v>613</v>
      </c>
      <c r="E409" t="s">
        <v>23</v>
      </c>
      <c r="F409" t="s">
        <v>66</v>
      </c>
      <c r="G409" s="3">
        <v>42323</v>
      </c>
      <c r="H409">
        <v>740760314</v>
      </c>
      <c r="I409" s="3">
        <v>42329</v>
      </c>
      <c r="J409">
        <v>6293</v>
      </c>
      <c r="K409">
        <v>47.45</v>
      </c>
      <c r="L409">
        <v>31.79</v>
      </c>
      <c r="M409">
        <f t="shared" si="54"/>
        <v>298602.85000000003</v>
      </c>
      <c r="N409">
        <f t="shared" si="55"/>
        <v>200054.47</v>
      </c>
      <c r="O409">
        <f t="shared" si="56"/>
        <v>98548.380000000034</v>
      </c>
      <c r="P409" s="6">
        <f t="shared" si="57"/>
        <v>0.33003161222339311</v>
      </c>
      <c r="Q409">
        <f t="shared" si="58"/>
        <v>6</v>
      </c>
      <c r="R409">
        <f t="shared" si="59"/>
        <v>2015</v>
      </c>
      <c r="S409" t="str">
        <f t="shared" si="60"/>
        <v>November</v>
      </c>
      <c r="T409">
        <f t="shared" si="61"/>
        <v>11</v>
      </c>
      <c r="U409" t="str">
        <f t="shared" si="62"/>
        <v>Low Profit</v>
      </c>
    </row>
    <row r="410" spans="1:21" x14ac:dyDescent="0.35">
      <c r="A410" s="5" t="s">
        <v>50</v>
      </c>
      <c r="B410" s="5" t="s">
        <v>491</v>
      </c>
      <c r="C410" t="s">
        <v>30</v>
      </c>
      <c r="D410" t="s">
        <v>614</v>
      </c>
      <c r="E410" t="s">
        <v>29</v>
      </c>
      <c r="F410" t="s">
        <v>32</v>
      </c>
      <c r="G410" s="3">
        <v>41285</v>
      </c>
      <c r="H410">
        <v>300476777</v>
      </c>
      <c r="I410" s="3">
        <v>41333</v>
      </c>
      <c r="J410">
        <v>6610</v>
      </c>
      <c r="K410">
        <v>255.28</v>
      </c>
      <c r="L410">
        <v>159.41999999999999</v>
      </c>
      <c r="M410">
        <f t="shared" si="54"/>
        <v>1687400.8</v>
      </c>
      <c r="N410">
        <f t="shared" si="55"/>
        <v>1053766.2</v>
      </c>
      <c r="O410">
        <f t="shared" si="56"/>
        <v>633634.60000000009</v>
      </c>
      <c r="P410" s="6">
        <f t="shared" si="57"/>
        <v>0.37550924475086184</v>
      </c>
      <c r="Q410">
        <f t="shared" si="58"/>
        <v>48</v>
      </c>
      <c r="R410">
        <f t="shared" si="59"/>
        <v>2013</v>
      </c>
      <c r="S410" t="str">
        <f t="shared" si="60"/>
        <v>January</v>
      </c>
      <c r="T410">
        <f t="shared" si="61"/>
        <v>1</v>
      </c>
      <c r="U410" t="str">
        <f t="shared" si="62"/>
        <v>High Profit</v>
      </c>
    </row>
    <row r="411" spans="1:21" x14ac:dyDescent="0.35">
      <c r="A411" s="5" t="s">
        <v>50</v>
      </c>
      <c r="B411" s="5" t="s">
        <v>491</v>
      </c>
      <c r="C411" t="s">
        <v>58</v>
      </c>
      <c r="D411" t="s">
        <v>615</v>
      </c>
      <c r="E411" t="s">
        <v>29</v>
      </c>
      <c r="F411" t="s">
        <v>66</v>
      </c>
      <c r="G411" s="3">
        <v>41388</v>
      </c>
      <c r="H411">
        <v>786519229</v>
      </c>
      <c r="I411" s="3">
        <v>41432</v>
      </c>
      <c r="J411">
        <v>7373</v>
      </c>
      <c r="K411">
        <v>152.58000000000001</v>
      </c>
      <c r="L411">
        <v>97.44</v>
      </c>
      <c r="M411">
        <f t="shared" si="54"/>
        <v>1124972.3400000001</v>
      </c>
      <c r="N411">
        <f t="shared" si="55"/>
        <v>718425.12</v>
      </c>
      <c r="O411">
        <f t="shared" si="56"/>
        <v>406547.22000000009</v>
      </c>
      <c r="P411" s="6">
        <f t="shared" si="57"/>
        <v>0.36138419189933157</v>
      </c>
      <c r="Q411">
        <f t="shared" si="58"/>
        <v>44</v>
      </c>
      <c r="R411">
        <f t="shared" si="59"/>
        <v>2013</v>
      </c>
      <c r="S411" t="str">
        <f t="shared" si="60"/>
        <v>April</v>
      </c>
      <c r="T411">
        <f t="shared" si="61"/>
        <v>4</v>
      </c>
      <c r="U411" t="str">
        <f t="shared" si="62"/>
        <v>Medium Profit</v>
      </c>
    </row>
    <row r="412" spans="1:21" x14ac:dyDescent="0.35">
      <c r="A412" s="5" t="s">
        <v>19</v>
      </c>
      <c r="B412" s="5" t="s">
        <v>118</v>
      </c>
      <c r="C412" t="s">
        <v>21</v>
      </c>
      <c r="D412" t="s">
        <v>616</v>
      </c>
      <c r="E412" t="s">
        <v>23</v>
      </c>
      <c r="F412" t="s">
        <v>32</v>
      </c>
      <c r="G412" s="3">
        <v>40313</v>
      </c>
      <c r="H412">
        <v>409873998</v>
      </c>
      <c r="I412" s="3">
        <v>40332</v>
      </c>
      <c r="J412">
        <v>9679</v>
      </c>
      <c r="K412">
        <v>437.2</v>
      </c>
      <c r="L412">
        <v>263.33</v>
      </c>
      <c r="M412">
        <f t="shared" si="54"/>
        <v>4231658.8</v>
      </c>
      <c r="N412">
        <f t="shared" si="55"/>
        <v>2548771.0699999998</v>
      </c>
      <c r="O412">
        <f t="shared" si="56"/>
        <v>1682887.73</v>
      </c>
      <c r="P412" s="6">
        <f t="shared" si="57"/>
        <v>0.39768984446477584</v>
      </c>
      <c r="Q412">
        <f t="shared" si="58"/>
        <v>19</v>
      </c>
      <c r="R412">
        <f t="shared" si="59"/>
        <v>2010</v>
      </c>
      <c r="S412" t="str">
        <f t="shared" si="60"/>
        <v>May</v>
      </c>
      <c r="T412">
        <f t="shared" si="61"/>
        <v>5</v>
      </c>
      <c r="U412" t="str">
        <f t="shared" si="62"/>
        <v>High Profit</v>
      </c>
    </row>
    <row r="413" spans="1:21" x14ac:dyDescent="0.35">
      <c r="A413" s="5" t="s">
        <v>37</v>
      </c>
      <c r="B413" s="5" t="s">
        <v>94</v>
      </c>
      <c r="C413" t="s">
        <v>21</v>
      </c>
      <c r="D413" t="s">
        <v>617</v>
      </c>
      <c r="E413" t="s">
        <v>23</v>
      </c>
      <c r="F413" t="s">
        <v>41</v>
      </c>
      <c r="G413" s="3">
        <v>40285</v>
      </c>
      <c r="H413">
        <v>151839911</v>
      </c>
      <c r="I413" s="3">
        <v>40320</v>
      </c>
      <c r="J413">
        <v>1659</v>
      </c>
      <c r="K413">
        <v>437.2</v>
      </c>
      <c r="L413">
        <v>263.33</v>
      </c>
      <c r="M413">
        <f t="shared" si="54"/>
        <v>725314.79999999993</v>
      </c>
      <c r="N413">
        <f t="shared" si="55"/>
        <v>436864.47</v>
      </c>
      <c r="O413">
        <f t="shared" si="56"/>
        <v>288450.32999999996</v>
      </c>
      <c r="P413" s="6">
        <f t="shared" si="57"/>
        <v>0.39768984446477584</v>
      </c>
      <c r="Q413">
        <f t="shared" si="58"/>
        <v>35</v>
      </c>
      <c r="R413">
        <f t="shared" si="59"/>
        <v>2010</v>
      </c>
      <c r="S413" t="str">
        <f t="shared" si="60"/>
        <v>April</v>
      </c>
      <c r="T413">
        <f t="shared" si="61"/>
        <v>4</v>
      </c>
      <c r="U413" t="str">
        <f t="shared" si="62"/>
        <v>Medium Profit</v>
      </c>
    </row>
    <row r="414" spans="1:21" x14ac:dyDescent="0.35">
      <c r="A414" s="5" t="s">
        <v>42</v>
      </c>
      <c r="B414" s="5" t="s">
        <v>80</v>
      </c>
      <c r="C414" t="s">
        <v>27</v>
      </c>
      <c r="D414" t="s">
        <v>618</v>
      </c>
      <c r="E414" t="s">
        <v>29</v>
      </c>
      <c r="F414" t="s">
        <v>41</v>
      </c>
      <c r="G414" s="3">
        <v>41146</v>
      </c>
      <c r="H414">
        <v>614028298</v>
      </c>
      <c r="I414" s="3">
        <v>41161</v>
      </c>
      <c r="J414">
        <v>3473</v>
      </c>
      <c r="K414">
        <v>154.06</v>
      </c>
      <c r="L414">
        <v>90.93</v>
      </c>
      <c r="M414">
        <f t="shared" si="54"/>
        <v>535050.38</v>
      </c>
      <c r="N414">
        <f t="shared" si="55"/>
        <v>315799.89</v>
      </c>
      <c r="O414">
        <f t="shared" si="56"/>
        <v>219250.49</v>
      </c>
      <c r="P414" s="6">
        <f t="shared" si="57"/>
        <v>0.40977541217707386</v>
      </c>
      <c r="Q414">
        <f t="shared" si="58"/>
        <v>15</v>
      </c>
      <c r="R414">
        <f t="shared" si="59"/>
        <v>2012</v>
      </c>
      <c r="S414" t="str">
        <f t="shared" si="60"/>
        <v>August</v>
      </c>
      <c r="T414">
        <f t="shared" si="61"/>
        <v>8</v>
      </c>
      <c r="U414" t="str">
        <f t="shared" si="62"/>
        <v>Medium Profit</v>
      </c>
    </row>
    <row r="415" spans="1:21" x14ac:dyDescent="0.35">
      <c r="A415" s="5" t="s">
        <v>19</v>
      </c>
      <c r="B415" s="5" t="s">
        <v>350</v>
      </c>
      <c r="C415" t="s">
        <v>60</v>
      </c>
      <c r="D415" t="s">
        <v>619</v>
      </c>
      <c r="E415" t="s">
        <v>23</v>
      </c>
      <c r="F415" t="s">
        <v>66</v>
      </c>
      <c r="G415" s="3">
        <v>41748</v>
      </c>
      <c r="H415">
        <v>668362987</v>
      </c>
      <c r="I415" s="3">
        <v>41772</v>
      </c>
      <c r="J415">
        <v>2315</v>
      </c>
      <c r="K415">
        <v>668.27</v>
      </c>
      <c r="L415">
        <v>502.54</v>
      </c>
      <c r="M415">
        <f t="shared" si="54"/>
        <v>1547045.05</v>
      </c>
      <c r="N415">
        <f t="shared" si="55"/>
        <v>1163380.1000000001</v>
      </c>
      <c r="O415">
        <f t="shared" si="56"/>
        <v>383664.94999999995</v>
      </c>
      <c r="P415" s="6">
        <f t="shared" si="57"/>
        <v>0.24799856345489096</v>
      </c>
      <c r="Q415">
        <f t="shared" si="58"/>
        <v>24</v>
      </c>
      <c r="R415">
        <f t="shared" si="59"/>
        <v>2014</v>
      </c>
      <c r="S415" t="str">
        <f t="shared" si="60"/>
        <v>April</v>
      </c>
      <c r="T415">
        <f t="shared" si="61"/>
        <v>4</v>
      </c>
      <c r="U415" t="str">
        <f t="shared" si="62"/>
        <v>Medium Profit</v>
      </c>
    </row>
    <row r="416" spans="1:21" x14ac:dyDescent="0.35">
      <c r="A416" s="5" t="s">
        <v>37</v>
      </c>
      <c r="B416" s="5" t="s">
        <v>260</v>
      </c>
      <c r="C416" t="s">
        <v>60</v>
      </c>
      <c r="D416" t="s">
        <v>620</v>
      </c>
      <c r="E416" t="s">
        <v>29</v>
      </c>
      <c r="F416" t="s">
        <v>24</v>
      </c>
      <c r="G416" s="3">
        <v>41331</v>
      </c>
      <c r="H416">
        <v>607080304</v>
      </c>
      <c r="I416" s="3">
        <v>41369</v>
      </c>
      <c r="J416">
        <v>7408</v>
      </c>
      <c r="K416">
        <v>668.27</v>
      </c>
      <c r="L416">
        <v>502.54</v>
      </c>
      <c r="M416">
        <f t="shared" si="54"/>
        <v>4950544.16</v>
      </c>
      <c r="N416">
        <f t="shared" si="55"/>
        <v>3722816.3200000003</v>
      </c>
      <c r="O416">
        <f t="shared" si="56"/>
        <v>1227727.8399999999</v>
      </c>
      <c r="P416" s="6">
        <f t="shared" si="57"/>
        <v>0.24799856345489096</v>
      </c>
      <c r="Q416">
        <f t="shared" si="58"/>
        <v>38</v>
      </c>
      <c r="R416">
        <f t="shared" si="59"/>
        <v>2013</v>
      </c>
      <c r="S416" t="str">
        <f t="shared" si="60"/>
        <v>February</v>
      </c>
      <c r="T416">
        <f t="shared" si="61"/>
        <v>2</v>
      </c>
      <c r="U416" t="str">
        <f t="shared" si="62"/>
        <v>High Profit</v>
      </c>
    </row>
    <row r="417" spans="1:21" x14ac:dyDescent="0.35">
      <c r="A417" s="5" t="s">
        <v>37</v>
      </c>
      <c r="B417" s="5" t="s">
        <v>225</v>
      </c>
      <c r="C417" t="s">
        <v>30</v>
      </c>
      <c r="D417" t="s">
        <v>621</v>
      </c>
      <c r="E417" t="s">
        <v>29</v>
      </c>
      <c r="F417" t="s">
        <v>24</v>
      </c>
      <c r="G417" s="3">
        <v>40905</v>
      </c>
      <c r="H417">
        <v>792729079</v>
      </c>
      <c r="I417" s="3">
        <v>40925</v>
      </c>
      <c r="J417">
        <v>5006</v>
      </c>
      <c r="K417">
        <v>255.28</v>
      </c>
      <c r="L417">
        <v>159.41999999999999</v>
      </c>
      <c r="M417">
        <f t="shared" si="54"/>
        <v>1277931.68</v>
      </c>
      <c r="N417">
        <f t="shared" si="55"/>
        <v>798056.5199999999</v>
      </c>
      <c r="O417">
        <f t="shared" si="56"/>
        <v>479875.16000000003</v>
      </c>
      <c r="P417" s="6">
        <f t="shared" si="57"/>
        <v>0.37550924475086184</v>
      </c>
      <c r="Q417">
        <f t="shared" si="58"/>
        <v>20</v>
      </c>
      <c r="R417">
        <f t="shared" si="59"/>
        <v>2011</v>
      </c>
      <c r="S417" t="str">
        <f t="shared" si="60"/>
        <v>December</v>
      </c>
      <c r="T417">
        <f t="shared" si="61"/>
        <v>12</v>
      </c>
      <c r="U417" t="str">
        <f t="shared" si="62"/>
        <v>Medium Profit</v>
      </c>
    </row>
    <row r="418" spans="1:21" x14ac:dyDescent="0.35">
      <c r="A418" s="5" t="s">
        <v>37</v>
      </c>
      <c r="B418" s="5" t="s">
        <v>278</v>
      </c>
      <c r="C418" t="s">
        <v>30</v>
      </c>
      <c r="D418" t="s">
        <v>622</v>
      </c>
      <c r="E418" t="s">
        <v>23</v>
      </c>
      <c r="F418" t="s">
        <v>24</v>
      </c>
      <c r="G418" s="3">
        <v>41872</v>
      </c>
      <c r="H418">
        <v>308170640</v>
      </c>
      <c r="I418" s="3">
        <v>41922</v>
      </c>
      <c r="J418">
        <v>3395</v>
      </c>
      <c r="K418">
        <v>255.28</v>
      </c>
      <c r="L418">
        <v>159.41999999999999</v>
      </c>
      <c r="M418">
        <f t="shared" si="54"/>
        <v>866675.6</v>
      </c>
      <c r="N418">
        <f t="shared" si="55"/>
        <v>541230.89999999991</v>
      </c>
      <c r="O418">
        <f t="shared" si="56"/>
        <v>325444.70000000007</v>
      </c>
      <c r="P418" s="6">
        <f t="shared" si="57"/>
        <v>0.37550924475086189</v>
      </c>
      <c r="Q418">
        <f t="shared" si="58"/>
        <v>50</v>
      </c>
      <c r="R418">
        <f t="shared" si="59"/>
        <v>2014</v>
      </c>
      <c r="S418" t="str">
        <f t="shared" si="60"/>
        <v>August</v>
      </c>
      <c r="T418">
        <f t="shared" si="61"/>
        <v>8</v>
      </c>
      <c r="U418" t="str">
        <f t="shared" si="62"/>
        <v>Medium Profit</v>
      </c>
    </row>
    <row r="419" spans="1:21" x14ac:dyDescent="0.35">
      <c r="A419" s="5" t="s">
        <v>33</v>
      </c>
      <c r="B419" s="5" t="s">
        <v>497</v>
      </c>
      <c r="C419" t="s">
        <v>27</v>
      </c>
      <c r="D419" t="s">
        <v>623</v>
      </c>
      <c r="E419" t="s">
        <v>29</v>
      </c>
      <c r="F419" t="s">
        <v>41</v>
      </c>
      <c r="G419" s="3">
        <v>41872</v>
      </c>
      <c r="H419">
        <v>106578814</v>
      </c>
      <c r="I419" s="3">
        <v>41914</v>
      </c>
      <c r="J419">
        <v>7894</v>
      </c>
      <c r="K419">
        <v>154.06</v>
      </c>
      <c r="L419">
        <v>90.93</v>
      </c>
      <c r="M419">
        <f t="shared" si="54"/>
        <v>1216149.6400000001</v>
      </c>
      <c r="N419">
        <f t="shared" si="55"/>
        <v>717801.42</v>
      </c>
      <c r="O419">
        <f t="shared" si="56"/>
        <v>498348.22000000009</v>
      </c>
      <c r="P419" s="6">
        <f t="shared" si="57"/>
        <v>0.40977541217707392</v>
      </c>
      <c r="Q419">
        <f t="shared" si="58"/>
        <v>42</v>
      </c>
      <c r="R419">
        <f t="shared" si="59"/>
        <v>2014</v>
      </c>
      <c r="S419" t="str">
        <f t="shared" si="60"/>
        <v>August</v>
      </c>
      <c r="T419">
        <f t="shared" si="61"/>
        <v>8</v>
      </c>
      <c r="U419" t="str">
        <f t="shared" si="62"/>
        <v>Medium Profit</v>
      </c>
    </row>
    <row r="420" spans="1:21" x14ac:dyDescent="0.35">
      <c r="A420" s="5" t="s">
        <v>42</v>
      </c>
      <c r="B420" s="5" t="s">
        <v>198</v>
      </c>
      <c r="C420" t="s">
        <v>35</v>
      </c>
      <c r="D420" t="s">
        <v>624</v>
      </c>
      <c r="E420" t="s">
        <v>29</v>
      </c>
      <c r="F420" t="s">
        <v>41</v>
      </c>
      <c r="G420" s="3">
        <v>41700</v>
      </c>
      <c r="H420">
        <v>761439931</v>
      </c>
      <c r="I420" s="3">
        <v>41726</v>
      </c>
      <c r="J420">
        <v>5851</v>
      </c>
      <c r="K420">
        <v>205.7</v>
      </c>
      <c r="L420">
        <v>117.11</v>
      </c>
      <c r="M420">
        <f t="shared" si="54"/>
        <v>1203550.7</v>
      </c>
      <c r="N420">
        <f t="shared" si="55"/>
        <v>685210.61</v>
      </c>
      <c r="O420">
        <f t="shared" si="56"/>
        <v>518340.08999999997</v>
      </c>
      <c r="P420" s="6">
        <f t="shared" si="57"/>
        <v>0.43067574137092851</v>
      </c>
      <c r="Q420">
        <f t="shared" si="58"/>
        <v>26</v>
      </c>
      <c r="R420">
        <f t="shared" si="59"/>
        <v>2014</v>
      </c>
      <c r="S420" t="str">
        <f t="shared" si="60"/>
        <v>March</v>
      </c>
      <c r="T420">
        <f t="shared" si="61"/>
        <v>3</v>
      </c>
      <c r="U420" t="str">
        <f t="shared" si="62"/>
        <v>High Profit</v>
      </c>
    </row>
    <row r="421" spans="1:21" x14ac:dyDescent="0.35">
      <c r="A421" s="5" t="s">
        <v>37</v>
      </c>
      <c r="B421" s="5" t="s">
        <v>94</v>
      </c>
      <c r="C421" t="s">
        <v>60</v>
      </c>
      <c r="D421" t="s">
        <v>625</v>
      </c>
      <c r="E421" t="s">
        <v>29</v>
      </c>
      <c r="F421" t="s">
        <v>66</v>
      </c>
      <c r="G421" s="3">
        <v>41158</v>
      </c>
      <c r="H421">
        <v>216552817</v>
      </c>
      <c r="I421" s="3">
        <v>41179</v>
      </c>
      <c r="J421">
        <v>1646</v>
      </c>
      <c r="K421">
        <v>668.27</v>
      </c>
      <c r="L421">
        <v>502.54</v>
      </c>
      <c r="M421">
        <f t="shared" si="54"/>
        <v>1099972.42</v>
      </c>
      <c r="N421">
        <f t="shared" si="55"/>
        <v>827180.84000000008</v>
      </c>
      <c r="O421">
        <f t="shared" si="56"/>
        <v>272791.57999999984</v>
      </c>
      <c r="P421" s="6">
        <f t="shared" si="57"/>
        <v>0.24799856345489085</v>
      </c>
      <c r="Q421">
        <f t="shared" si="58"/>
        <v>21</v>
      </c>
      <c r="R421">
        <f t="shared" si="59"/>
        <v>2012</v>
      </c>
      <c r="S421" t="str">
        <f t="shared" si="60"/>
        <v>September</v>
      </c>
      <c r="T421">
        <f t="shared" si="61"/>
        <v>9</v>
      </c>
      <c r="U421" t="str">
        <f t="shared" si="62"/>
        <v>Medium Profit</v>
      </c>
    </row>
    <row r="422" spans="1:21" x14ac:dyDescent="0.35">
      <c r="A422" s="5" t="s">
        <v>37</v>
      </c>
      <c r="B422" s="5" t="s">
        <v>318</v>
      </c>
      <c r="C422" t="s">
        <v>39</v>
      </c>
      <c r="D422" t="s">
        <v>626</v>
      </c>
      <c r="E422" t="s">
        <v>29</v>
      </c>
      <c r="F422" t="s">
        <v>41</v>
      </c>
      <c r="G422" s="3">
        <v>40437</v>
      </c>
      <c r="H422">
        <v>536028802</v>
      </c>
      <c r="I422" s="3">
        <v>40443</v>
      </c>
      <c r="J422">
        <v>1689</v>
      </c>
      <c r="K422">
        <v>9.33</v>
      </c>
      <c r="L422">
        <v>6.92</v>
      </c>
      <c r="M422">
        <f t="shared" si="54"/>
        <v>15758.37</v>
      </c>
      <c r="N422">
        <f t="shared" si="55"/>
        <v>11687.88</v>
      </c>
      <c r="O422">
        <f t="shared" si="56"/>
        <v>4070.4900000000016</v>
      </c>
      <c r="P422" s="6">
        <f t="shared" si="57"/>
        <v>0.25830653804930342</v>
      </c>
      <c r="Q422">
        <f t="shared" si="58"/>
        <v>6</v>
      </c>
      <c r="R422">
        <f t="shared" si="59"/>
        <v>2010</v>
      </c>
      <c r="S422" t="str">
        <f t="shared" si="60"/>
        <v>September</v>
      </c>
      <c r="T422">
        <f t="shared" si="61"/>
        <v>9</v>
      </c>
      <c r="U422" t="str">
        <f t="shared" si="62"/>
        <v>Low Profit</v>
      </c>
    </row>
    <row r="423" spans="1:21" x14ac:dyDescent="0.35">
      <c r="A423" s="5" t="s">
        <v>37</v>
      </c>
      <c r="B423" s="5" t="s">
        <v>161</v>
      </c>
      <c r="C423" t="s">
        <v>72</v>
      </c>
      <c r="D423" t="s">
        <v>627</v>
      </c>
      <c r="E423" t="s">
        <v>29</v>
      </c>
      <c r="F423" t="s">
        <v>66</v>
      </c>
      <c r="G423" s="3">
        <v>41499</v>
      </c>
      <c r="H423">
        <v>254291713</v>
      </c>
      <c r="I423" s="3">
        <v>41501</v>
      </c>
      <c r="J423">
        <v>9424</v>
      </c>
      <c r="K423">
        <v>47.45</v>
      </c>
      <c r="L423">
        <v>31.79</v>
      </c>
      <c r="M423">
        <f t="shared" si="54"/>
        <v>447168.80000000005</v>
      </c>
      <c r="N423">
        <f t="shared" si="55"/>
        <v>299588.96000000002</v>
      </c>
      <c r="O423">
        <f t="shared" si="56"/>
        <v>147579.84000000003</v>
      </c>
      <c r="P423" s="6">
        <f t="shared" si="57"/>
        <v>0.33003161222339306</v>
      </c>
      <c r="Q423">
        <f t="shared" si="58"/>
        <v>2</v>
      </c>
      <c r="R423">
        <f t="shared" si="59"/>
        <v>2013</v>
      </c>
      <c r="S423" t="str">
        <f t="shared" si="60"/>
        <v>August</v>
      </c>
      <c r="T423">
        <f t="shared" si="61"/>
        <v>8</v>
      </c>
      <c r="U423" t="str">
        <f t="shared" si="62"/>
        <v>Medium Profit</v>
      </c>
    </row>
    <row r="424" spans="1:21" x14ac:dyDescent="0.35">
      <c r="A424" s="5" t="s">
        <v>42</v>
      </c>
      <c r="B424" s="5" t="s">
        <v>324</v>
      </c>
      <c r="C424" t="s">
        <v>83</v>
      </c>
      <c r="D424" t="s">
        <v>628</v>
      </c>
      <c r="E424" t="s">
        <v>29</v>
      </c>
      <c r="F424" t="s">
        <v>32</v>
      </c>
      <c r="G424" s="3">
        <v>41163</v>
      </c>
      <c r="H424">
        <v>226077878</v>
      </c>
      <c r="I424" s="3">
        <v>41205</v>
      </c>
      <c r="J424">
        <v>323</v>
      </c>
      <c r="K424">
        <v>81.73</v>
      </c>
      <c r="L424">
        <v>56.67</v>
      </c>
      <c r="M424">
        <f t="shared" si="54"/>
        <v>26398.79</v>
      </c>
      <c r="N424">
        <f t="shared" si="55"/>
        <v>18304.41</v>
      </c>
      <c r="O424">
        <f t="shared" si="56"/>
        <v>8094.380000000001</v>
      </c>
      <c r="P424" s="6">
        <f t="shared" si="57"/>
        <v>0.30661935641747218</v>
      </c>
      <c r="Q424">
        <f t="shared" si="58"/>
        <v>42</v>
      </c>
      <c r="R424">
        <f t="shared" si="59"/>
        <v>2012</v>
      </c>
      <c r="S424" t="str">
        <f t="shared" si="60"/>
        <v>September</v>
      </c>
      <c r="T424">
        <f t="shared" si="61"/>
        <v>9</v>
      </c>
      <c r="U424" t="str">
        <f t="shared" si="62"/>
        <v>Low Profit</v>
      </c>
    </row>
    <row r="425" spans="1:21" x14ac:dyDescent="0.35">
      <c r="A425" s="5" t="s">
        <v>42</v>
      </c>
      <c r="B425" s="5" t="s">
        <v>257</v>
      </c>
      <c r="C425" t="s">
        <v>69</v>
      </c>
      <c r="D425" t="s">
        <v>629</v>
      </c>
      <c r="E425" t="s">
        <v>23</v>
      </c>
      <c r="F425" t="s">
        <v>24</v>
      </c>
      <c r="G425" s="3">
        <v>40786</v>
      </c>
      <c r="H425">
        <v>476436126</v>
      </c>
      <c r="I425" s="3">
        <v>40831</v>
      </c>
      <c r="J425">
        <v>6892</v>
      </c>
      <c r="K425">
        <v>651.21</v>
      </c>
      <c r="L425">
        <v>524.96</v>
      </c>
      <c r="M425">
        <f t="shared" si="54"/>
        <v>4488139.32</v>
      </c>
      <c r="N425">
        <f t="shared" si="55"/>
        <v>3618024.3200000003</v>
      </c>
      <c r="O425">
        <f t="shared" si="56"/>
        <v>870115</v>
      </c>
      <c r="P425" s="6">
        <f t="shared" si="57"/>
        <v>0.19386987300563566</v>
      </c>
      <c r="Q425">
        <f t="shared" si="58"/>
        <v>45</v>
      </c>
      <c r="R425">
        <f t="shared" si="59"/>
        <v>2011</v>
      </c>
      <c r="S425" t="str">
        <f t="shared" si="60"/>
        <v>August</v>
      </c>
      <c r="T425">
        <f t="shared" si="61"/>
        <v>8</v>
      </c>
      <c r="U425" t="str">
        <f t="shared" si="62"/>
        <v>High Profit</v>
      </c>
    </row>
    <row r="426" spans="1:21" x14ac:dyDescent="0.35">
      <c r="A426" s="5" t="s">
        <v>42</v>
      </c>
      <c r="B426" s="5" t="s">
        <v>223</v>
      </c>
      <c r="C426" t="s">
        <v>21</v>
      </c>
      <c r="D426" t="s">
        <v>630</v>
      </c>
      <c r="E426" t="s">
        <v>23</v>
      </c>
      <c r="F426" t="s">
        <v>66</v>
      </c>
      <c r="G426" s="3">
        <v>42115</v>
      </c>
      <c r="H426">
        <v>650727784</v>
      </c>
      <c r="I426" s="3">
        <v>42161</v>
      </c>
      <c r="J426">
        <v>3667</v>
      </c>
      <c r="K426">
        <v>437.2</v>
      </c>
      <c r="L426">
        <v>263.33</v>
      </c>
      <c r="M426">
        <f t="shared" si="54"/>
        <v>1603212.4</v>
      </c>
      <c r="N426">
        <f t="shared" si="55"/>
        <v>965631.11</v>
      </c>
      <c r="O426">
        <f t="shared" si="56"/>
        <v>637581.28999999992</v>
      </c>
      <c r="P426" s="6">
        <f t="shared" si="57"/>
        <v>0.39768984446477584</v>
      </c>
      <c r="Q426">
        <f t="shared" si="58"/>
        <v>46</v>
      </c>
      <c r="R426">
        <f t="shared" si="59"/>
        <v>2015</v>
      </c>
      <c r="S426" t="str">
        <f t="shared" si="60"/>
        <v>April</v>
      </c>
      <c r="T426">
        <f t="shared" si="61"/>
        <v>4</v>
      </c>
      <c r="U426" t="str">
        <f t="shared" si="62"/>
        <v>High Profit</v>
      </c>
    </row>
    <row r="427" spans="1:21" x14ac:dyDescent="0.35">
      <c r="A427" s="5" t="s">
        <v>50</v>
      </c>
      <c r="B427" s="5" t="s">
        <v>631</v>
      </c>
      <c r="C427" t="s">
        <v>60</v>
      </c>
      <c r="D427" t="s">
        <v>632</v>
      </c>
      <c r="E427" t="s">
        <v>23</v>
      </c>
      <c r="F427" t="s">
        <v>32</v>
      </c>
      <c r="G427" s="3">
        <v>40370</v>
      </c>
      <c r="H427">
        <v>464626681</v>
      </c>
      <c r="I427" s="3">
        <v>40386</v>
      </c>
      <c r="J427">
        <v>2215</v>
      </c>
      <c r="K427">
        <v>668.27</v>
      </c>
      <c r="L427">
        <v>502.54</v>
      </c>
      <c r="M427">
        <f t="shared" si="54"/>
        <v>1480218.05</v>
      </c>
      <c r="N427">
        <f t="shared" si="55"/>
        <v>1113126.1000000001</v>
      </c>
      <c r="O427">
        <f t="shared" si="56"/>
        <v>367091.94999999995</v>
      </c>
      <c r="P427" s="6">
        <f t="shared" si="57"/>
        <v>0.24799856345489094</v>
      </c>
      <c r="Q427">
        <f t="shared" si="58"/>
        <v>16</v>
      </c>
      <c r="R427">
        <f t="shared" si="59"/>
        <v>2010</v>
      </c>
      <c r="S427" t="str">
        <f t="shared" si="60"/>
        <v>July</v>
      </c>
      <c r="T427">
        <f t="shared" si="61"/>
        <v>7</v>
      </c>
      <c r="U427" t="str">
        <f t="shared" si="62"/>
        <v>Medium Profit</v>
      </c>
    </row>
    <row r="428" spans="1:21" x14ac:dyDescent="0.35">
      <c r="A428" s="5" t="s">
        <v>19</v>
      </c>
      <c r="B428" s="5" t="s">
        <v>182</v>
      </c>
      <c r="C428" t="s">
        <v>92</v>
      </c>
      <c r="D428" t="s">
        <v>633</v>
      </c>
      <c r="E428" t="s">
        <v>23</v>
      </c>
      <c r="F428" t="s">
        <v>32</v>
      </c>
      <c r="G428" s="3">
        <v>42225</v>
      </c>
      <c r="H428">
        <v>154119145</v>
      </c>
      <c r="I428" s="3">
        <v>42268</v>
      </c>
      <c r="J428">
        <v>6135</v>
      </c>
      <c r="K428">
        <v>421.89</v>
      </c>
      <c r="L428">
        <v>364.69</v>
      </c>
      <c r="M428">
        <f t="shared" si="54"/>
        <v>2588295.15</v>
      </c>
      <c r="N428">
        <f t="shared" si="55"/>
        <v>2237373.15</v>
      </c>
      <c r="O428">
        <f t="shared" si="56"/>
        <v>350922</v>
      </c>
      <c r="P428" s="6">
        <f t="shared" si="57"/>
        <v>0.13558036455000119</v>
      </c>
      <c r="Q428">
        <f t="shared" si="58"/>
        <v>43</v>
      </c>
      <c r="R428">
        <f t="shared" si="59"/>
        <v>2015</v>
      </c>
      <c r="S428" t="str">
        <f t="shared" si="60"/>
        <v>August</v>
      </c>
      <c r="T428">
        <f t="shared" si="61"/>
        <v>8</v>
      </c>
      <c r="U428" t="str">
        <f t="shared" si="62"/>
        <v>Medium Profit</v>
      </c>
    </row>
    <row r="429" spans="1:21" x14ac:dyDescent="0.35">
      <c r="A429" s="5" t="s">
        <v>50</v>
      </c>
      <c r="B429" s="5" t="s">
        <v>195</v>
      </c>
      <c r="C429" t="s">
        <v>92</v>
      </c>
      <c r="D429" t="s">
        <v>634</v>
      </c>
      <c r="E429" t="s">
        <v>29</v>
      </c>
      <c r="F429" t="s">
        <v>24</v>
      </c>
      <c r="G429" s="3">
        <v>42294</v>
      </c>
      <c r="H429">
        <v>925504004</v>
      </c>
      <c r="I429" s="3">
        <v>42344</v>
      </c>
      <c r="J429">
        <v>6057</v>
      </c>
      <c r="K429">
        <v>421.89</v>
      </c>
      <c r="L429">
        <v>364.69</v>
      </c>
      <c r="M429">
        <f t="shared" si="54"/>
        <v>2555387.73</v>
      </c>
      <c r="N429">
        <f t="shared" si="55"/>
        <v>2208927.33</v>
      </c>
      <c r="O429">
        <f t="shared" si="56"/>
        <v>346460.39999999991</v>
      </c>
      <c r="P429" s="6">
        <f t="shared" si="57"/>
        <v>0.13558036455000114</v>
      </c>
      <c r="Q429">
        <f t="shared" si="58"/>
        <v>50</v>
      </c>
      <c r="R429">
        <f t="shared" si="59"/>
        <v>2015</v>
      </c>
      <c r="S429" t="str">
        <f t="shared" si="60"/>
        <v>October</v>
      </c>
      <c r="T429">
        <f t="shared" si="61"/>
        <v>10</v>
      </c>
      <c r="U429" t="str">
        <f t="shared" si="62"/>
        <v>Medium Profit</v>
      </c>
    </row>
    <row r="430" spans="1:21" x14ac:dyDescent="0.35">
      <c r="A430" s="5" t="s">
        <v>53</v>
      </c>
      <c r="B430" s="5" t="s">
        <v>345</v>
      </c>
      <c r="C430" t="s">
        <v>35</v>
      </c>
      <c r="D430" t="s">
        <v>635</v>
      </c>
      <c r="E430" t="s">
        <v>23</v>
      </c>
      <c r="F430" t="s">
        <v>66</v>
      </c>
      <c r="G430" s="3">
        <v>41114</v>
      </c>
      <c r="H430">
        <v>905392587</v>
      </c>
      <c r="I430" s="3">
        <v>41137</v>
      </c>
      <c r="J430">
        <v>4641</v>
      </c>
      <c r="K430">
        <v>205.7</v>
      </c>
      <c r="L430">
        <v>117.11</v>
      </c>
      <c r="M430">
        <f t="shared" si="54"/>
        <v>954653.7</v>
      </c>
      <c r="N430">
        <f t="shared" si="55"/>
        <v>543507.51</v>
      </c>
      <c r="O430">
        <f t="shared" si="56"/>
        <v>411146.18999999994</v>
      </c>
      <c r="P430" s="6">
        <f t="shared" si="57"/>
        <v>0.43067574137092851</v>
      </c>
      <c r="Q430">
        <f t="shared" si="58"/>
        <v>23</v>
      </c>
      <c r="R430">
        <f t="shared" si="59"/>
        <v>2012</v>
      </c>
      <c r="S430" t="str">
        <f t="shared" si="60"/>
        <v>July</v>
      </c>
      <c r="T430">
        <f t="shared" si="61"/>
        <v>7</v>
      </c>
      <c r="U430" t="str">
        <f t="shared" si="62"/>
        <v>Medium Profit</v>
      </c>
    </row>
    <row r="431" spans="1:21" x14ac:dyDescent="0.35">
      <c r="A431" s="5" t="s">
        <v>33</v>
      </c>
      <c r="B431" s="5" t="s">
        <v>636</v>
      </c>
      <c r="C431" t="s">
        <v>58</v>
      </c>
      <c r="D431" t="s">
        <v>637</v>
      </c>
      <c r="E431" t="s">
        <v>29</v>
      </c>
      <c r="F431" t="s">
        <v>32</v>
      </c>
      <c r="G431" s="3">
        <v>40993</v>
      </c>
      <c r="H431">
        <v>990708720</v>
      </c>
      <c r="I431" s="3">
        <v>41033</v>
      </c>
      <c r="J431">
        <v>1581</v>
      </c>
      <c r="K431">
        <v>152.58000000000001</v>
      </c>
      <c r="L431">
        <v>97.44</v>
      </c>
      <c r="M431">
        <f t="shared" si="54"/>
        <v>241228.98</v>
      </c>
      <c r="N431">
        <f t="shared" si="55"/>
        <v>154052.63999999998</v>
      </c>
      <c r="O431">
        <f t="shared" si="56"/>
        <v>87176.340000000026</v>
      </c>
      <c r="P431" s="6">
        <f t="shared" si="57"/>
        <v>0.36138419189933157</v>
      </c>
      <c r="Q431">
        <f t="shared" si="58"/>
        <v>40</v>
      </c>
      <c r="R431">
        <f t="shared" si="59"/>
        <v>2012</v>
      </c>
      <c r="S431" t="str">
        <f t="shared" si="60"/>
        <v>March</v>
      </c>
      <c r="T431">
        <f t="shared" si="61"/>
        <v>3</v>
      </c>
      <c r="U431" t="str">
        <f t="shared" si="62"/>
        <v>Low Profit</v>
      </c>
    </row>
    <row r="432" spans="1:21" x14ac:dyDescent="0.35">
      <c r="A432" s="5" t="s">
        <v>42</v>
      </c>
      <c r="B432" s="5" t="s">
        <v>308</v>
      </c>
      <c r="C432" t="s">
        <v>30</v>
      </c>
      <c r="D432" t="s">
        <v>638</v>
      </c>
      <c r="E432" t="s">
        <v>29</v>
      </c>
      <c r="F432" t="s">
        <v>24</v>
      </c>
      <c r="G432" s="3">
        <v>41862</v>
      </c>
      <c r="H432">
        <v>798688733</v>
      </c>
      <c r="I432" s="3">
        <v>41900</v>
      </c>
      <c r="J432">
        <v>8600</v>
      </c>
      <c r="K432">
        <v>255.28</v>
      </c>
      <c r="L432">
        <v>159.41999999999999</v>
      </c>
      <c r="M432">
        <f t="shared" si="54"/>
        <v>2195408</v>
      </c>
      <c r="N432">
        <f t="shared" si="55"/>
        <v>1371012</v>
      </c>
      <c r="O432">
        <f t="shared" si="56"/>
        <v>824396</v>
      </c>
      <c r="P432" s="6">
        <f t="shared" si="57"/>
        <v>0.37550924475086178</v>
      </c>
      <c r="Q432">
        <f t="shared" si="58"/>
        <v>38</v>
      </c>
      <c r="R432">
        <f t="shared" si="59"/>
        <v>2014</v>
      </c>
      <c r="S432" t="str">
        <f t="shared" si="60"/>
        <v>August</v>
      </c>
      <c r="T432">
        <f t="shared" si="61"/>
        <v>8</v>
      </c>
      <c r="U432" t="str">
        <f t="shared" si="62"/>
        <v>High Profit</v>
      </c>
    </row>
    <row r="433" spans="1:21" x14ac:dyDescent="0.35">
      <c r="A433" s="5" t="s">
        <v>33</v>
      </c>
      <c r="B433" s="5" t="s">
        <v>143</v>
      </c>
      <c r="C433" t="s">
        <v>35</v>
      </c>
      <c r="D433" t="s">
        <v>639</v>
      </c>
      <c r="E433" t="s">
        <v>23</v>
      </c>
      <c r="F433" t="s">
        <v>32</v>
      </c>
      <c r="G433" s="3">
        <v>42658</v>
      </c>
      <c r="H433">
        <v>916881453</v>
      </c>
      <c r="I433" s="3">
        <v>42702</v>
      </c>
      <c r="J433">
        <v>4452</v>
      </c>
      <c r="K433">
        <v>205.7</v>
      </c>
      <c r="L433">
        <v>117.11</v>
      </c>
      <c r="M433">
        <f t="shared" si="54"/>
        <v>915776.39999999991</v>
      </c>
      <c r="N433">
        <f t="shared" si="55"/>
        <v>521373.72</v>
      </c>
      <c r="O433">
        <f t="shared" si="56"/>
        <v>394402.67999999993</v>
      </c>
      <c r="P433" s="6">
        <f t="shared" si="57"/>
        <v>0.43067574137092851</v>
      </c>
      <c r="Q433">
        <f t="shared" si="58"/>
        <v>44</v>
      </c>
      <c r="R433">
        <f t="shared" si="59"/>
        <v>2016</v>
      </c>
      <c r="S433" t="str">
        <f t="shared" si="60"/>
        <v>October</v>
      </c>
      <c r="T433">
        <f t="shared" si="61"/>
        <v>10</v>
      </c>
      <c r="U433" t="str">
        <f t="shared" si="62"/>
        <v>Medium Profit</v>
      </c>
    </row>
    <row r="434" spans="1:21" x14ac:dyDescent="0.35">
      <c r="A434" s="5" t="s">
        <v>33</v>
      </c>
      <c r="B434" s="5" t="s">
        <v>168</v>
      </c>
      <c r="C434" t="s">
        <v>21</v>
      </c>
      <c r="D434" t="s">
        <v>640</v>
      </c>
      <c r="E434" t="s">
        <v>23</v>
      </c>
      <c r="F434" t="s">
        <v>66</v>
      </c>
      <c r="G434" s="3">
        <v>42707</v>
      </c>
      <c r="H434">
        <v>653148210</v>
      </c>
      <c r="I434" s="3">
        <v>42756</v>
      </c>
      <c r="J434">
        <v>9924</v>
      </c>
      <c r="K434">
        <v>437.2</v>
      </c>
      <c r="L434">
        <v>263.33</v>
      </c>
      <c r="M434">
        <f t="shared" si="54"/>
        <v>4338772.8</v>
      </c>
      <c r="N434">
        <f t="shared" si="55"/>
        <v>2613286.92</v>
      </c>
      <c r="O434">
        <f t="shared" si="56"/>
        <v>1725485.88</v>
      </c>
      <c r="P434" s="6">
        <f t="shared" si="57"/>
        <v>0.39768984446477584</v>
      </c>
      <c r="Q434">
        <f t="shared" si="58"/>
        <v>49</v>
      </c>
      <c r="R434">
        <f t="shared" si="59"/>
        <v>2016</v>
      </c>
      <c r="S434" t="str">
        <f t="shared" si="60"/>
        <v>December</v>
      </c>
      <c r="T434">
        <f t="shared" si="61"/>
        <v>12</v>
      </c>
      <c r="U434" t="str">
        <f t="shared" si="62"/>
        <v>High Profit</v>
      </c>
    </row>
    <row r="435" spans="1:21" x14ac:dyDescent="0.35">
      <c r="A435" s="5" t="s">
        <v>42</v>
      </c>
      <c r="B435" s="5" t="s">
        <v>270</v>
      </c>
      <c r="C435" t="s">
        <v>83</v>
      </c>
      <c r="D435" t="s">
        <v>641</v>
      </c>
      <c r="E435" t="s">
        <v>23</v>
      </c>
      <c r="F435" t="s">
        <v>32</v>
      </c>
      <c r="G435" s="3">
        <v>40341</v>
      </c>
      <c r="H435">
        <v>285662829</v>
      </c>
      <c r="I435" s="3">
        <v>40372</v>
      </c>
      <c r="J435">
        <v>2834</v>
      </c>
      <c r="K435">
        <v>81.73</v>
      </c>
      <c r="L435">
        <v>56.67</v>
      </c>
      <c r="M435">
        <f t="shared" si="54"/>
        <v>231622.82</v>
      </c>
      <c r="N435">
        <f t="shared" si="55"/>
        <v>160602.78</v>
      </c>
      <c r="O435">
        <f t="shared" si="56"/>
        <v>71020.040000000008</v>
      </c>
      <c r="P435" s="6">
        <f t="shared" si="57"/>
        <v>0.30661935641747218</v>
      </c>
      <c r="Q435">
        <f t="shared" si="58"/>
        <v>31</v>
      </c>
      <c r="R435">
        <f t="shared" si="59"/>
        <v>2010</v>
      </c>
      <c r="S435" t="str">
        <f t="shared" si="60"/>
        <v>June</v>
      </c>
      <c r="T435">
        <f t="shared" si="61"/>
        <v>6</v>
      </c>
      <c r="U435" t="str">
        <f t="shared" si="62"/>
        <v>Low Profit</v>
      </c>
    </row>
    <row r="436" spans="1:21" x14ac:dyDescent="0.35">
      <c r="A436" s="5" t="s">
        <v>42</v>
      </c>
      <c r="B436" s="5" t="s">
        <v>166</v>
      </c>
      <c r="C436" t="s">
        <v>27</v>
      </c>
      <c r="D436" t="s">
        <v>642</v>
      </c>
      <c r="E436" t="s">
        <v>29</v>
      </c>
      <c r="F436" t="s">
        <v>32</v>
      </c>
      <c r="G436" s="3">
        <v>42580</v>
      </c>
      <c r="H436">
        <v>612911641</v>
      </c>
      <c r="I436" s="3">
        <v>42613</v>
      </c>
      <c r="J436">
        <v>3030</v>
      </c>
      <c r="K436">
        <v>154.06</v>
      </c>
      <c r="L436">
        <v>90.93</v>
      </c>
      <c r="M436">
        <f t="shared" si="54"/>
        <v>466801.8</v>
      </c>
      <c r="N436">
        <f t="shared" si="55"/>
        <v>275517.90000000002</v>
      </c>
      <c r="O436">
        <f t="shared" si="56"/>
        <v>191283.89999999997</v>
      </c>
      <c r="P436" s="6">
        <f t="shared" si="57"/>
        <v>0.40977541217707381</v>
      </c>
      <c r="Q436">
        <f t="shared" si="58"/>
        <v>33</v>
      </c>
      <c r="R436">
        <f t="shared" si="59"/>
        <v>2016</v>
      </c>
      <c r="S436" t="str">
        <f t="shared" si="60"/>
        <v>July</v>
      </c>
      <c r="T436">
        <f t="shared" si="61"/>
        <v>7</v>
      </c>
      <c r="U436" t="str">
        <f t="shared" si="62"/>
        <v>Medium Profit</v>
      </c>
    </row>
    <row r="437" spans="1:21" x14ac:dyDescent="0.35">
      <c r="A437" s="5" t="s">
        <v>42</v>
      </c>
      <c r="B437" s="5" t="s">
        <v>270</v>
      </c>
      <c r="C437" t="s">
        <v>69</v>
      </c>
      <c r="D437" t="s">
        <v>643</v>
      </c>
      <c r="E437" t="s">
        <v>23</v>
      </c>
      <c r="F437" t="s">
        <v>66</v>
      </c>
      <c r="G437" s="3">
        <v>41617</v>
      </c>
      <c r="H437">
        <v>703693473</v>
      </c>
      <c r="I437" s="3">
        <v>41651</v>
      </c>
      <c r="J437">
        <v>7391</v>
      </c>
      <c r="K437">
        <v>651.21</v>
      </c>
      <c r="L437">
        <v>524.96</v>
      </c>
      <c r="M437">
        <f t="shared" si="54"/>
        <v>4813093.1100000003</v>
      </c>
      <c r="N437">
        <f t="shared" si="55"/>
        <v>3879979.3600000003</v>
      </c>
      <c r="O437">
        <f t="shared" si="56"/>
        <v>933113.75</v>
      </c>
      <c r="P437" s="6">
        <f t="shared" si="57"/>
        <v>0.19386987300563566</v>
      </c>
      <c r="Q437">
        <f t="shared" si="58"/>
        <v>34</v>
      </c>
      <c r="R437">
        <f t="shared" si="59"/>
        <v>2013</v>
      </c>
      <c r="S437" t="str">
        <f t="shared" si="60"/>
        <v>December</v>
      </c>
      <c r="T437">
        <f t="shared" si="61"/>
        <v>12</v>
      </c>
      <c r="U437" t="str">
        <f t="shared" si="62"/>
        <v>High Profit</v>
      </c>
    </row>
    <row r="438" spans="1:21" x14ac:dyDescent="0.35">
      <c r="A438" s="5" t="s">
        <v>33</v>
      </c>
      <c r="B438" s="5" t="s">
        <v>129</v>
      </c>
      <c r="C438" t="s">
        <v>48</v>
      </c>
      <c r="D438" t="s">
        <v>644</v>
      </c>
      <c r="E438" t="s">
        <v>29</v>
      </c>
      <c r="F438" t="s">
        <v>24</v>
      </c>
      <c r="G438" s="3">
        <v>41102</v>
      </c>
      <c r="H438">
        <v>147119653</v>
      </c>
      <c r="I438" s="3">
        <v>41130</v>
      </c>
      <c r="J438">
        <v>4829</v>
      </c>
      <c r="K438">
        <v>109.28</v>
      </c>
      <c r="L438">
        <v>35.840000000000003</v>
      </c>
      <c r="M438">
        <f t="shared" si="54"/>
        <v>527713.12</v>
      </c>
      <c r="N438">
        <f t="shared" si="55"/>
        <v>173071.36000000002</v>
      </c>
      <c r="O438">
        <f t="shared" si="56"/>
        <v>354641.76</v>
      </c>
      <c r="P438" s="6">
        <f t="shared" si="57"/>
        <v>0.67203513909224011</v>
      </c>
      <c r="Q438">
        <f t="shared" si="58"/>
        <v>28</v>
      </c>
      <c r="R438">
        <f t="shared" si="59"/>
        <v>2012</v>
      </c>
      <c r="S438" t="str">
        <f t="shared" si="60"/>
        <v>July</v>
      </c>
      <c r="T438">
        <f t="shared" si="61"/>
        <v>7</v>
      </c>
      <c r="U438" t="str">
        <f t="shared" si="62"/>
        <v>Medium Profit</v>
      </c>
    </row>
    <row r="439" spans="1:21" x14ac:dyDescent="0.35">
      <c r="A439" s="5" t="s">
        <v>33</v>
      </c>
      <c r="B439" s="5" t="s">
        <v>645</v>
      </c>
      <c r="C439" t="s">
        <v>39</v>
      </c>
      <c r="D439" t="s">
        <v>646</v>
      </c>
      <c r="E439" t="s">
        <v>29</v>
      </c>
      <c r="F439" t="s">
        <v>32</v>
      </c>
      <c r="G439" s="3">
        <v>40922</v>
      </c>
      <c r="H439">
        <v>402614009</v>
      </c>
      <c r="I439" s="3">
        <v>40970</v>
      </c>
      <c r="J439">
        <v>1287</v>
      </c>
      <c r="K439">
        <v>9.33</v>
      </c>
      <c r="L439">
        <v>6.92</v>
      </c>
      <c r="M439">
        <f t="shared" si="54"/>
        <v>12007.710000000001</v>
      </c>
      <c r="N439">
        <f t="shared" si="55"/>
        <v>8906.0399999999991</v>
      </c>
      <c r="O439">
        <f t="shared" si="56"/>
        <v>3101.6700000000019</v>
      </c>
      <c r="P439" s="6">
        <f t="shared" si="57"/>
        <v>0.25830653804930348</v>
      </c>
      <c r="Q439">
        <f t="shared" si="58"/>
        <v>48</v>
      </c>
      <c r="R439">
        <f t="shared" si="59"/>
        <v>2012</v>
      </c>
      <c r="S439" t="str">
        <f t="shared" si="60"/>
        <v>January</v>
      </c>
      <c r="T439">
        <f t="shared" si="61"/>
        <v>1</v>
      </c>
      <c r="U439" t="str">
        <f t="shared" si="62"/>
        <v>Low Profit</v>
      </c>
    </row>
    <row r="440" spans="1:21" x14ac:dyDescent="0.35">
      <c r="A440" s="5" t="s">
        <v>19</v>
      </c>
      <c r="B440" s="5" t="s">
        <v>234</v>
      </c>
      <c r="C440" t="s">
        <v>83</v>
      </c>
      <c r="D440" t="s">
        <v>647</v>
      </c>
      <c r="E440" t="s">
        <v>29</v>
      </c>
      <c r="F440" t="s">
        <v>32</v>
      </c>
      <c r="G440" s="3">
        <v>41353</v>
      </c>
      <c r="H440">
        <v>749912869</v>
      </c>
      <c r="I440" s="3">
        <v>41389</v>
      </c>
      <c r="J440">
        <v>4738</v>
      </c>
      <c r="K440">
        <v>81.73</v>
      </c>
      <c r="L440">
        <v>56.67</v>
      </c>
      <c r="M440">
        <f t="shared" si="54"/>
        <v>387236.74</v>
      </c>
      <c r="N440">
        <f t="shared" si="55"/>
        <v>268502.46000000002</v>
      </c>
      <c r="O440">
        <f t="shared" si="56"/>
        <v>118734.27999999997</v>
      </c>
      <c r="P440" s="6">
        <f t="shared" si="57"/>
        <v>0.30661935641747207</v>
      </c>
      <c r="Q440">
        <f t="shared" si="58"/>
        <v>36</v>
      </c>
      <c r="R440">
        <f t="shared" si="59"/>
        <v>2013</v>
      </c>
      <c r="S440" t="str">
        <f t="shared" si="60"/>
        <v>March</v>
      </c>
      <c r="T440">
        <f t="shared" si="61"/>
        <v>3</v>
      </c>
      <c r="U440" t="str">
        <f t="shared" si="62"/>
        <v>Medium Profit</v>
      </c>
    </row>
    <row r="441" spans="1:21" x14ac:dyDescent="0.35">
      <c r="A441" s="5" t="s">
        <v>50</v>
      </c>
      <c r="B441" s="5" t="s">
        <v>263</v>
      </c>
      <c r="C441" t="s">
        <v>60</v>
      </c>
      <c r="D441" t="s">
        <v>648</v>
      </c>
      <c r="E441" t="s">
        <v>29</v>
      </c>
      <c r="F441" t="s">
        <v>41</v>
      </c>
      <c r="G441" s="3">
        <v>41680</v>
      </c>
      <c r="H441">
        <v>539065062</v>
      </c>
      <c r="I441" s="3">
        <v>41708</v>
      </c>
      <c r="J441">
        <v>186</v>
      </c>
      <c r="K441">
        <v>668.27</v>
      </c>
      <c r="L441">
        <v>502.54</v>
      </c>
      <c r="M441">
        <f t="shared" si="54"/>
        <v>124298.22</v>
      </c>
      <c r="N441">
        <f t="shared" si="55"/>
        <v>93472.44</v>
      </c>
      <c r="O441">
        <f t="shared" si="56"/>
        <v>30825.78</v>
      </c>
      <c r="P441" s="6">
        <f t="shared" si="57"/>
        <v>0.24799856345489096</v>
      </c>
      <c r="Q441">
        <f t="shared" si="58"/>
        <v>28</v>
      </c>
      <c r="R441">
        <f t="shared" si="59"/>
        <v>2014</v>
      </c>
      <c r="S441" t="str">
        <f t="shared" si="60"/>
        <v>February</v>
      </c>
      <c r="T441">
        <f t="shared" si="61"/>
        <v>2</v>
      </c>
      <c r="U441" t="str">
        <f t="shared" si="62"/>
        <v>Low Profit</v>
      </c>
    </row>
    <row r="442" spans="1:21" x14ac:dyDescent="0.35">
      <c r="A442" s="5" t="s">
        <v>42</v>
      </c>
      <c r="B442" s="5" t="s">
        <v>43</v>
      </c>
      <c r="C442" t="s">
        <v>58</v>
      </c>
      <c r="D442" t="s">
        <v>649</v>
      </c>
      <c r="E442" t="s">
        <v>23</v>
      </c>
      <c r="F442" t="s">
        <v>41</v>
      </c>
      <c r="G442" s="3">
        <v>41573</v>
      </c>
      <c r="H442">
        <v>540431916</v>
      </c>
      <c r="I442" s="3">
        <v>41593</v>
      </c>
      <c r="J442">
        <v>4668</v>
      </c>
      <c r="K442">
        <v>152.58000000000001</v>
      </c>
      <c r="L442">
        <v>97.44</v>
      </c>
      <c r="M442">
        <f t="shared" si="54"/>
        <v>712243.44000000006</v>
      </c>
      <c r="N442">
        <f t="shared" si="55"/>
        <v>454849.92</v>
      </c>
      <c r="O442">
        <f t="shared" si="56"/>
        <v>257393.52000000008</v>
      </c>
      <c r="P442" s="6">
        <f t="shared" si="57"/>
        <v>0.36138419189933157</v>
      </c>
      <c r="Q442">
        <f t="shared" si="58"/>
        <v>20</v>
      </c>
      <c r="R442">
        <f t="shared" si="59"/>
        <v>2013</v>
      </c>
      <c r="S442" t="str">
        <f t="shared" si="60"/>
        <v>October</v>
      </c>
      <c r="T442">
        <f t="shared" si="61"/>
        <v>10</v>
      </c>
      <c r="U442" t="str">
        <f t="shared" si="62"/>
        <v>Medium Profit</v>
      </c>
    </row>
    <row r="443" spans="1:21" x14ac:dyDescent="0.35">
      <c r="A443" s="5" t="s">
        <v>25</v>
      </c>
      <c r="B443" s="5" t="s">
        <v>26</v>
      </c>
      <c r="C443" t="s">
        <v>72</v>
      </c>
      <c r="D443" t="s">
        <v>650</v>
      </c>
      <c r="E443" t="s">
        <v>29</v>
      </c>
      <c r="F443" t="s">
        <v>32</v>
      </c>
      <c r="G443" s="3">
        <v>42476</v>
      </c>
      <c r="H443">
        <v>694687259</v>
      </c>
      <c r="I443" s="3">
        <v>42523</v>
      </c>
      <c r="J443">
        <v>2252</v>
      </c>
      <c r="K443">
        <v>47.45</v>
      </c>
      <c r="L443">
        <v>31.79</v>
      </c>
      <c r="M443">
        <f t="shared" si="54"/>
        <v>106857.40000000001</v>
      </c>
      <c r="N443">
        <f t="shared" si="55"/>
        <v>71591.08</v>
      </c>
      <c r="O443">
        <f t="shared" si="56"/>
        <v>35266.320000000007</v>
      </c>
      <c r="P443" s="6">
        <f t="shared" si="57"/>
        <v>0.33003161222339306</v>
      </c>
      <c r="Q443">
        <f t="shared" si="58"/>
        <v>47</v>
      </c>
      <c r="R443">
        <f t="shared" si="59"/>
        <v>2016</v>
      </c>
      <c r="S443" t="str">
        <f t="shared" si="60"/>
        <v>April</v>
      </c>
      <c r="T443">
        <f t="shared" si="61"/>
        <v>4</v>
      </c>
      <c r="U443" t="str">
        <f t="shared" si="62"/>
        <v>Low Profit</v>
      </c>
    </row>
    <row r="444" spans="1:21" x14ac:dyDescent="0.35">
      <c r="A444" s="5" t="s">
        <v>37</v>
      </c>
      <c r="B444" s="5" t="s">
        <v>133</v>
      </c>
      <c r="C444" t="s">
        <v>21</v>
      </c>
      <c r="D444" t="s">
        <v>651</v>
      </c>
      <c r="E444" t="s">
        <v>23</v>
      </c>
      <c r="F444" t="s">
        <v>41</v>
      </c>
      <c r="G444" s="3">
        <v>40690</v>
      </c>
      <c r="H444">
        <v>562817418</v>
      </c>
      <c r="I444" s="3">
        <v>40696</v>
      </c>
      <c r="J444">
        <v>9036</v>
      </c>
      <c r="K444">
        <v>437.2</v>
      </c>
      <c r="L444">
        <v>263.33</v>
      </c>
      <c r="M444">
        <f t="shared" si="54"/>
        <v>3950539.1999999997</v>
      </c>
      <c r="N444">
        <f t="shared" si="55"/>
        <v>2379449.88</v>
      </c>
      <c r="O444">
        <f t="shared" si="56"/>
        <v>1571089.3199999998</v>
      </c>
      <c r="P444" s="6">
        <f t="shared" si="57"/>
        <v>0.39768984446477584</v>
      </c>
      <c r="Q444">
        <f t="shared" si="58"/>
        <v>6</v>
      </c>
      <c r="R444">
        <f t="shared" si="59"/>
        <v>2011</v>
      </c>
      <c r="S444" t="str">
        <f t="shared" si="60"/>
        <v>May</v>
      </c>
      <c r="T444">
        <f t="shared" si="61"/>
        <v>5</v>
      </c>
      <c r="U444" t="str">
        <f t="shared" si="62"/>
        <v>High Profit</v>
      </c>
    </row>
    <row r="445" spans="1:21" x14ac:dyDescent="0.35">
      <c r="A445" s="5" t="s">
        <v>42</v>
      </c>
      <c r="B445" s="5" t="s">
        <v>424</v>
      </c>
      <c r="C445" t="s">
        <v>35</v>
      </c>
      <c r="D445" t="s">
        <v>652</v>
      </c>
      <c r="E445" t="s">
        <v>29</v>
      </c>
      <c r="F445" t="s">
        <v>66</v>
      </c>
      <c r="G445" s="3">
        <v>42586</v>
      </c>
      <c r="H445">
        <v>676121222</v>
      </c>
      <c r="I445" s="3">
        <v>42622</v>
      </c>
      <c r="J445">
        <v>8149</v>
      </c>
      <c r="K445">
        <v>205.7</v>
      </c>
      <c r="L445">
        <v>117.11</v>
      </c>
      <c r="M445">
        <f t="shared" si="54"/>
        <v>1676249.2999999998</v>
      </c>
      <c r="N445">
        <f t="shared" si="55"/>
        <v>954329.39</v>
      </c>
      <c r="O445">
        <f t="shared" si="56"/>
        <v>721919.9099999998</v>
      </c>
      <c r="P445" s="6">
        <f t="shared" si="57"/>
        <v>0.43067574137092846</v>
      </c>
      <c r="Q445">
        <f t="shared" si="58"/>
        <v>36</v>
      </c>
      <c r="R445">
        <f t="shared" si="59"/>
        <v>2016</v>
      </c>
      <c r="S445" t="str">
        <f t="shared" si="60"/>
        <v>August</v>
      </c>
      <c r="T445">
        <f t="shared" si="61"/>
        <v>8</v>
      </c>
      <c r="U445" t="str">
        <f t="shared" si="62"/>
        <v>High Profit</v>
      </c>
    </row>
    <row r="446" spans="1:21" x14ac:dyDescent="0.35">
      <c r="A446" s="5" t="s">
        <v>19</v>
      </c>
      <c r="B446" s="5" t="s">
        <v>182</v>
      </c>
      <c r="C446" t="s">
        <v>58</v>
      </c>
      <c r="D446" t="s">
        <v>653</v>
      </c>
      <c r="E446" t="s">
        <v>23</v>
      </c>
      <c r="F446" t="s">
        <v>66</v>
      </c>
      <c r="G446" s="3">
        <v>41093</v>
      </c>
      <c r="H446">
        <v>286210000</v>
      </c>
      <c r="I446" s="3">
        <v>41126</v>
      </c>
      <c r="J446">
        <v>4754</v>
      </c>
      <c r="K446">
        <v>152.58000000000001</v>
      </c>
      <c r="L446">
        <v>97.44</v>
      </c>
      <c r="M446">
        <f t="shared" si="54"/>
        <v>725365.32000000007</v>
      </c>
      <c r="N446">
        <f t="shared" si="55"/>
        <v>463229.76</v>
      </c>
      <c r="O446">
        <f t="shared" si="56"/>
        <v>262135.56000000006</v>
      </c>
      <c r="P446" s="6">
        <f t="shared" si="57"/>
        <v>0.36138419189933152</v>
      </c>
      <c r="Q446">
        <f t="shared" si="58"/>
        <v>33</v>
      </c>
      <c r="R446">
        <f t="shared" si="59"/>
        <v>2012</v>
      </c>
      <c r="S446" t="str">
        <f t="shared" si="60"/>
        <v>July</v>
      </c>
      <c r="T446">
        <f t="shared" si="61"/>
        <v>7</v>
      </c>
      <c r="U446" t="str">
        <f t="shared" si="62"/>
        <v>Medium Profit</v>
      </c>
    </row>
    <row r="447" spans="1:21" x14ac:dyDescent="0.35">
      <c r="A447" s="5" t="s">
        <v>19</v>
      </c>
      <c r="B447" s="5" t="s">
        <v>315</v>
      </c>
      <c r="C447" t="s">
        <v>72</v>
      </c>
      <c r="D447" t="s">
        <v>654</v>
      </c>
      <c r="E447" t="s">
        <v>29</v>
      </c>
      <c r="F447" t="s">
        <v>66</v>
      </c>
      <c r="G447" s="3">
        <v>41977</v>
      </c>
      <c r="H447">
        <v>515007579</v>
      </c>
      <c r="I447" s="3">
        <v>42015</v>
      </c>
      <c r="J447">
        <v>1042</v>
      </c>
      <c r="K447">
        <v>47.45</v>
      </c>
      <c r="L447">
        <v>31.79</v>
      </c>
      <c r="M447">
        <f t="shared" si="54"/>
        <v>49442.9</v>
      </c>
      <c r="N447">
        <f t="shared" si="55"/>
        <v>33125.18</v>
      </c>
      <c r="O447">
        <f t="shared" si="56"/>
        <v>16317.720000000001</v>
      </c>
      <c r="P447" s="6">
        <f t="shared" si="57"/>
        <v>0.33003161222339306</v>
      </c>
      <c r="Q447">
        <f t="shared" si="58"/>
        <v>38</v>
      </c>
      <c r="R447">
        <f t="shared" si="59"/>
        <v>2014</v>
      </c>
      <c r="S447" t="str">
        <f t="shared" si="60"/>
        <v>December</v>
      </c>
      <c r="T447">
        <f t="shared" si="61"/>
        <v>12</v>
      </c>
      <c r="U447" t="str">
        <f t="shared" si="62"/>
        <v>Low Profit</v>
      </c>
    </row>
    <row r="448" spans="1:21" x14ac:dyDescent="0.35">
      <c r="A448" s="5" t="s">
        <v>33</v>
      </c>
      <c r="B448" s="5" t="s">
        <v>655</v>
      </c>
      <c r="C448" t="s">
        <v>21</v>
      </c>
      <c r="D448" t="s">
        <v>656</v>
      </c>
      <c r="E448" t="s">
        <v>23</v>
      </c>
      <c r="F448" t="s">
        <v>32</v>
      </c>
      <c r="G448" s="3">
        <v>40329</v>
      </c>
      <c r="H448">
        <v>304750287</v>
      </c>
      <c r="I448" s="3">
        <v>40330</v>
      </c>
      <c r="J448">
        <v>1237</v>
      </c>
      <c r="K448">
        <v>437.2</v>
      </c>
      <c r="L448">
        <v>263.33</v>
      </c>
      <c r="M448">
        <f t="shared" si="54"/>
        <v>540816.4</v>
      </c>
      <c r="N448">
        <f t="shared" si="55"/>
        <v>325739.20999999996</v>
      </c>
      <c r="O448">
        <f t="shared" si="56"/>
        <v>215077.19000000006</v>
      </c>
      <c r="P448" s="6">
        <f t="shared" si="57"/>
        <v>0.39768984446477595</v>
      </c>
      <c r="Q448">
        <f t="shared" si="58"/>
        <v>1</v>
      </c>
      <c r="R448">
        <f t="shared" si="59"/>
        <v>2010</v>
      </c>
      <c r="S448" t="str">
        <f t="shared" si="60"/>
        <v>May</v>
      </c>
      <c r="T448">
        <f t="shared" si="61"/>
        <v>5</v>
      </c>
      <c r="U448" t="str">
        <f t="shared" si="62"/>
        <v>Medium Profit</v>
      </c>
    </row>
    <row r="449" spans="1:21" x14ac:dyDescent="0.35">
      <c r="A449" s="5" t="s">
        <v>33</v>
      </c>
      <c r="B449" s="5" t="s">
        <v>657</v>
      </c>
      <c r="C449" t="s">
        <v>72</v>
      </c>
      <c r="D449" t="s">
        <v>658</v>
      </c>
      <c r="E449" t="s">
        <v>29</v>
      </c>
      <c r="F449" t="s">
        <v>41</v>
      </c>
      <c r="G449" s="3">
        <v>41310</v>
      </c>
      <c r="H449">
        <v>467986953</v>
      </c>
      <c r="I449" s="3">
        <v>41322</v>
      </c>
      <c r="J449">
        <v>6594</v>
      </c>
      <c r="K449">
        <v>47.45</v>
      </c>
      <c r="L449">
        <v>31.79</v>
      </c>
      <c r="M449">
        <f t="shared" si="54"/>
        <v>312885.30000000005</v>
      </c>
      <c r="N449">
        <f t="shared" si="55"/>
        <v>209623.25999999998</v>
      </c>
      <c r="O449">
        <f t="shared" si="56"/>
        <v>103262.04000000007</v>
      </c>
      <c r="P449" s="6">
        <f t="shared" si="57"/>
        <v>0.33003161222339322</v>
      </c>
      <c r="Q449">
        <f t="shared" si="58"/>
        <v>12</v>
      </c>
      <c r="R449">
        <f t="shared" si="59"/>
        <v>2013</v>
      </c>
      <c r="S449" t="str">
        <f t="shared" si="60"/>
        <v>February</v>
      </c>
      <c r="T449">
        <f t="shared" si="61"/>
        <v>2</v>
      </c>
      <c r="U449" t="str">
        <f t="shared" si="62"/>
        <v>Medium Profit</v>
      </c>
    </row>
    <row r="450" spans="1:21" x14ac:dyDescent="0.35">
      <c r="A450" s="5" t="s">
        <v>42</v>
      </c>
      <c r="B450" s="5" t="s">
        <v>443</v>
      </c>
      <c r="C450" t="s">
        <v>72</v>
      </c>
      <c r="D450" t="s">
        <v>659</v>
      </c>
      <c r="E450" t="s">
        <v>23</v>
      </c>
      <c r="F450" t="s">
        <v>32</v>
      </c>
      <c r="G450" s="3">
        <v>42170</v>
      </c>
      <c r="H450">
        <v>537578904</v>
      </c>
      <c r="I450" s="3">
        <v>42194</v>
      </c>
      <c r="J450">
        <v>399</v>
      </c>
      <c r="K450">
        <v>47.45</v>
      </c>
      <c r="L450">
        <v>31.79</v>
      </c>
      <c r="M450">
        <f t="shared" si="54"/>
        <v>18932.550000000003</v>
      </c>
      <c r="N450">
        <f t="shared" si="55"/>
        <v>12684.21</v>
      </c>
      <c r="O450">
        <f t="shared" si="56"/>
        <v>6248.3400000000038</v>
      </c>
      <c r="P450" s="6">
        <f t="shared" si="57"/>
        <v>0.33003161222339317</v>
      </c>
      <c r="Q450">
        <f t="shared" si="58"/>
        <v>24</v>
      </c>
      <c r="R450">
        <f t="shared" si="59"/>
        <v>2015</v>
      </c>
      <c r="S450" t="str">
        <f t="shared" si="60"/>
        <v>June</v>
      </c>
      <c r="T450">
        <f t="shared" si="61"/>
        <v>6</v>
      </c>
      <c r="U450" t="str">
        <f t="shared" si="62"/>
        <v>Low Profit</v>
      </c>
    </row>
    <row r="451" spans="1:21" x14ac:dyDescent="0.35">
      <c r="A451" s="5" t="s">
        <v>42</v>
      </c>
      <c r="B451" s="5" t="s">
        <v>170</v>
      </c>
      <c r="C451" t="s">
        <v>27</v>
      </c>
      <c r="D451" t="s">
        <v>660</v>
      </c>
      <c r="E451" t="s">
        <v>23</v>
      </c>
      <c r="F451" t="s">
        <v>66</v>
      </c>
      <c r="G451" s="3">
        <v>41933</v>
      </c>
      <c r="H451">
        <v>116699969</v>
      </c>
      <c r="I451" s="3">
        <v>41961</v>
      </c>
      <c r="J451">
        <v>2969</v>
      </c>
      <c r="K451">
        <v>154.06</v>
      </c>
      <c r="L451">
        <v>90.93</v>
      </c>
      <c r="M451">
        <f t="shared" ref="M451:M514" si="63">J451*K451</f>
        <v>457404.14</v>
      </c>
      <c r="N451">
        <f t="shared" ref="N451:N514" si="64">J451*L451</f>
        <v>269971.17000000004</v>
      </c>
      <c r="O451">
        <f t="shared" ref="O451:O514" si="65">M451-N451</f>
        <v>187432.96999999997</v>
      </c>
      <c r="P451" s="6">
        <f t="shared" ref="P451:P514" si="66">O451/M451</f>
        <v>0.40977541217707381</v>
      </c>
      <c r="Q451">
        <f t="shared" ref="Q451:Q514" si="67">I451-G451</f>
        <v>28</v>
      </c>
      <c r="R451">
        <f t="shared" ref="R451:R514" si="68">YEAR(G451)</f>
        <v>2014</v>
      </c>
      <c r="S451" t="str">
        <f t="shared" ref="S451:S514" si="69">TEXT(G451,"mmmm")</f>
        <v>October</v>
      </c>
      <c r="T451">
        <f t="shared" ref="T451:T514" si="70">MONTH(G451)</f>
        <v>10</v>
      </c>
      <c r="U451" t="str">
        <f t="shared" ref="U451:U514" si="71">IF(O451&gt;=500000,"High Profit",
IF(O451&gt;=100000,"Medium Profit","Low Profit"))</f>
        <v>Medium Profit</v>
      </c>
    </row>
    <row r="452" spans="1:21" x14ac:dyDescent="0.35">
      <c r="A452" s="5" t="s">
        <v>37</v>
      </c>
      <c r="B452" s="5" t="s">
        <v>74</v>
      </c>
      <c r="C452" t="s">
        <v>58</v>
      </c>
      <c r="D452" t="s">
        <v>661</v>
      </c>
      <c r="E452" t="s">
        <v>23</v>
      </c>
      <c r="F452" t="s">
        <v>32</v>
      </c>
      <c r="G452" s="3">
        <v>42779</v>
      </c>
      <c r="H452">
        <v>228836476</v>
      </c>
      <c r="I452" s="3">
        <v>42807</v>
      </c>
      <c r="J452">
        <v>6653</v>
      </c>
      <c r="K452">
        <v>152.58000000000001</v>
      </c>
      <c r="L452">
        <v>97.44</v>
      </c>
      <c r="M452">
        <f t="shared" si="63"/>
        <v>1015114.7400000001</v>
      </c>
      <c r="N452">
        <f t="shared" si="64"/>
        <v>648268.31999999995</v>
      </c>
      <c r="O452">
        <f t="shared" si="65"/>
        <v>366846.42000000016</v>
      </c>
      <c r="P452" s="6">
        <f t="shared" si="66"/>
        <v>0.36138419189933163</v>
      </c>
      <c r="Q452">
        <f t="shared" si="67"/>
        <v>28</v>
      </c>
      <c r="R452">
        <f t="shared" si="68"/>
        <v>2017</v>
      </c>
      <c r="S452" t="str">
        <f t="shared" si="69"/>
        <v>February</v>
      </c>
      <c r="T452">
        <f t="shared" si="70"/>
        <v>2</v>
      </c>
      <c r="U452" t="str">
        <f t="shared" si="71"/>
        <v>Medium Profit</v>
      </c>
    </row>
    <row r="453" spans="1:21" x14ac:dyDescent="0.35">
      <c r="A453" s="5" t="s">
        <v>53</v>
      </c>
      <c r="B453" s="5" t="s">
        <v>402</v>
      </c>
      <c r="C453" t="s">
        <v>27</v>
      </c>
      <c r="D453" t="s">
        <v>662</v>
      </c>
      <c r="E453" t="s">
        <v>23</v>
      </c>
      <c r="F453" t="s">
        <v>32</v>
      </c>
      <c r="G453" s="3">
        <v>40358</v>
      </c>
      <c r="H453">
        <v>167787253</v>
      </c>
      <c r="I453" s="3">
        <v>40375</v>
      </c>
      <c r="J453">
        <v>832</v>
      </c>
      <c r="K453">
        <v>154.06</v>
      </c>
      <c r="L453">
        <v>90.93</v>
      </c>
      <c r="M453">
        <f t="shared" si="63"/>
        <v>128177.92</v>
      </c>
      <c r="N453">
        <f t="shared" si="64"/>
        <v>75653.760000000009</v>
      </c>
      <c r="O453">
        <f t="shared" si="65"/>
        <v>52524.159999999989</v>
      </c>
      <c r="P453" s="6">
        <f t="shared" si="66"/>
        <v>0.40977541217707381</v>
      </c>
      <c r="Q453">
        <f t="shared" si="67"/>
        <v>17</v>
      </c>
      <c r="R453">
        <f t="shared" si="68"/>
        <v>2010</v>
      </c>
      <c r="S453" t="str">
        <f t="shared" si="69"/>
        <v>June</v>
      </c>
      <c r="T453">
        <f t="shared" si="70"/>
        <v>6</v>
      </c>
      <c r="U453" t="str">
        <f t="shared" si="71"/>
        <v>Low Profit</v>
      </c>
    </row>
    <row r="454" spans="1:21" x14ac:dyDescent="0.35">
      <c r="A454" s="5" t="s">
        <v>53</v>
      </c>
      <c r="B454" s="5" t="s">
        <v>663</v>
      </c>
      <c r="C454" t="s">
        <v>27</v>
      </c>
      <c r="D454" t="s">
        <v>664</v>
      </c>
      <c r="E454" t="s">
        <v>29</v>
      </c>
      <c r="F454" t="s">
        <v>24</v>
      </c>
      <c r="G454" s="3">
        <v>41778</v>
      </c>
      <c r="H454">
        <v>647663629</v>
      </c>
      <c r="I454" s="3">
        <v>41779</v>
      </c>
      <c r="J454">
        <v>6915</v>
      </c>
      <c r="K454">
        <v>154.06</v>
      </c>
      <c r="L454">
        <v>90.93</v>
      </c>
      <c r="M454">
        <f t="shared" si="63"/>
        <v>1065324.8999999999</v>
      </c>
      <c r="N454">
        <f t="shared" si="64"/>
        <v>628780.95000000007</v>
      </c>
      <c r="O454">
        <f t="shared" si="65"/>
        <v>436543.94999999984</v>
      </c>
      <c r="P454" s="6">
        <f t="shared" si="66"/>
        <v>0.40977541217707375</v>
      </c>
      <c r="Q454">
        <f t="shared" si="67"/>
        <v>1</v>
      </c>
      <c r="R454">
        <f t="shared" si="68"/>
        <v>2014</v>
      </c>
      <c r="S454" t="str">
        <f t="shared" si="69"/>
        <v>May</v>
      </c>
      <c r="T454">
        <f t="shared" si="70"/>
        <v>5</v>
      </c>
      <c r="U454" t="str">
        <f t="shared" si="71"/>
        <v>Medium Profit</v>
      </c>
    </row>
    <row r="455" spans="1:21" x14ac:dyDescent="0.35">
      <c r="A455" s="5" t="s">
        <v>50</v>
      </c>
      <c r="B455" s="5" t="s">
        <v>296</v>
      </c>
      <c r="C455" t="s">
        <v>92</v>
      </c>
      <c r="D455" t="s">
        <v>665</v>
      </c>
      <c r="E455" t="s">
        <v>23</v>
      </c>
      <c r="F455" t="s">
        <v>66</v>
      </c>
      <c r="G455" s="3">
        <v>42084</v>
      </c>
      <c r="H455">
        <v>652889430</v>
      </c>
      <c r="I455" s="3">
        <v>42109</v>
      </c>
      <c r="J455">
        <v>3346</v>
      </c>
      <c r="K455">
        <v>421.89</v>
      </c>
      <c r="L455">
        <v>364.69</v>
      </c>
      <c r="M455">
        <f t="shared" si="63"/>
        <v>1411643.94</v>
      </c>
      <c r="N455">
        <f t="shared" si="64"/>
        <v>1220252.74</v>
      </c>
      <c r="O455">
        <f t="shared" si="65"/>
        <v>191391.19999999995</v>
      </c>
      <c r="P455" s="6">
        <f t="shared" si="66"/>
        <v>0.13558036455000116</v>
      </c>
      <c r="Q455">
        <f t="shared" si="67"/>
        <v>25</v>
      </c>
      <c r="R455">
        <f t="shared" si="68"/>
        <v>2015</v>
      </c>
      <c r="S455" t="str">
        <f t="shared" si="69"/>
        <v>March</v>
      </c>
      <c r="T455">
        <f t="shared" si="70"/>
        <v>3</v>
      </c>
      <c r="U455" t="str">
        <f t="shared" si="71"/>
        <v>Medium Profit</v>
      </c>
    </row>
    <row r="456" spans="1:21" x14ac:dyDescent="0.35">
      <c r="A456" s="5" t="s">
        <v>33</v>
      </c>
      <c r="B456" s="5" t="s">
        <v>123</v>
      </c>
      <c r="C456" t="s">
        <v>69</v>
      </c>
      <c r="D456" t="s">
        <v>666</v>
      </c>
      <c r="E456" t="s">
        <v>23</v>
      </c>
      <c r="F456" t="s">
        <v>24</v>
      </c>
      <c r="G456" s="3">
        <v>42247</v>
      </c>
      <c r="H456">
        <v>588200986</v>
      </c>
      <c r="I456" s="3">
        <v>42292</v>
      </c>
      <c r="J456">
        <v>598</v>
      </c>
      <c r="K456">
        <v>651.21</v>
      </c>
      <c r="L456">
        <v>524.96</v>
      </c>
      <c r="M456">
        <f t="shared" si="63"/>
        <v>389423.58</v>
      </c>
      <c r="N456">
        <f t="shared" si="64"/>
        <v>313926.08</v>
      </c>
      <c r="O456">
        <f t="shared" si="65"/>
        <v>75497.5</v>
      </c>
      <c r="P456" s="6">
        <f t="shared" si="66"/>
        <v>0.19386987300563566</v>
      </c>
      <c r="Q456">
        <f t="shared" si="67"/>
        <v>45</v>
      </c>
      <c r="R456">
        <f t="shared" si="68"/>
        <v>2015</v>
      </c>
      <c r="S456" t="str">
        <f t="shared" si="69"/>
        <v>August</v>
      </c>
      <c r="T456">
        <f t="shared" si="70"/>
        <v>8</v>
      </c>
      <c r="U456" t="str">
        <f t="shared" si="71"/>
        <v>Low Profit</v>
      </c>
    </row>
    <row r="457" spans="1:21" x14ac:dyDescent="0.35">
      <c r="A457" s="5" t="s">
        <v>50</v>
      </c>
      <c r="B457" s="5" t="s">
        <v>195</v>
      </c>
      <c r="C457" t="s">
        <v>83</v>
      </c>
      <c r="D457" t="s">
        <v>667</v>
      </c>
      <c r="E457" t="s">
        <v>29</v>
      </c>
      <c r="F457" t="s">
        <v>66</v>
      </c>
      <c r="G457" s="3">
        <v>42239</v>
      </c>
      <c r="H457">
        <v>928647124</v>
      </c>
      <c r="I457" s="3">
        <v>42246</v>
      </c>
      <c r="J457">
        <v>6176</v>
      </c>
      <c r="K457">
        <v>81.73</v>
      </c>
      <c r="L457">
        <v>56.67</v>
      </c>
      <c r="M457">
        <f t="shared" si="63"/>
        <v>504764.48000000004</v>
      </c>
      <c r="N457">
        <f t="shared" si="64"/>
        <v>349993.92</v>
      </c>
      <c r="O457">
        <f t="shared" si="65"/>
        <v>154770.56000000006</v>
      </c>
      <c r="P457" s="6">
        <f t="shared" si="66"/>
        <v>0.30661935641747223</v>
      </c>
      <c r="Q457">
        <f t="shared" si="67"/>
        <v>7</v>
      </c>
      <c r="R457">
        <f t="shared" si="68"/>
        <v>2015</v>
      </c>
      <c r="S457" t="str">
        <f t="shared" si="69"/>
        <v>August</v>
      </c>
      <c r="T457">
        <f t="shared" si="70"/>
        <v>8</v>
      </c>
      <c r="U457" t="str">
        <f t="shared" si="71"/>
        <v>Medium Profit</v>
      </c>
    </row>
    <row r="458" spans="1:21" x14ac:dyDescent="0.35">
      <c r="A458" s="5" t="s">
        <v>42</v>
      </c>
      <c r="B458" s="5" t="s">
        <v>308</v>
      </c>
      <c r="C458" t="s">
        <v>21</v>
      </c>
      <c r="D458" t="s">
        <v>668</v>
      </c>
      <c r="E458" t="s">
        <v>23</v>
      </c>
      <c r="F458" t="s">
        <v>66</v>
      </c>
      <c r="G458" s="3">
        <v>42424</v>
      </c>
      <c r="H458">
        <v>869589173</v>
      </c>
      <c r="I458" s="3">
        <v>42446</v>
      </c>
      <c r="J458">
        <v>9615</v>
      </c>
      <c r="K458">
        <v>437.2</v>
      </c>
      <c r="L458">
        <v>263.33</v>
      </c>
      <c r="M458">
        <f t="shared" si="63"/>
        <v>4203678</v>
      </c>
      <c r="N458">
        <f t="shared" si="64"/>
        <v>2531917.9499999997</v>
      </c>
      <c r="O458">
        <f t="shared" si="65"/>
        <v>1671760.0500000003</v>
      </c>
      <c r="P458" s="6">
        <f t="shared" si="66"/>
        <v>0.3976898444647759</v>
      </c>
      <c r="Q458">
        <f t="shared" si="67"/>
        <v>22</v>
      </c>
      <c r="R458">
        <f t="shared" si="68"/>
        <v>2016</v>
      </c>
      <c r="S458" t="str">
        <f t="shared" si="69"/>
        <v>February</v>
      </c>
      <c r="T458">
        <f t="shared" si="70"/>
        <v>2</v>
      </c>
      <c r="U458" t="str">
        <f t="shared" si="71"/>
        <v>High Profit</v>
      </c>
    </row>
    <row r="459" spans="1:21" x14ac:dyDescent="0.35">
      <c r="A459" s="5" t="s">
        <v>19</v>
      </c>
      <c r="B459" s="5" t="s">
        <v>669</v>
      </c>
      <c r="C459" t="s">
        <v>60</v>
      </c>
      <c r="D459" t="s">
        <v>670</v>
      </c>
      <c r="E459" t="s">
        <v>29</v>
      </c>
      <c r="F459" t="s">
        <v>32</v>
      </c>
      <c r="G459" s="3">
        <v>42172</v>
      </c>
      <c r="H459">
        <v>576700961</v>
      </c>
      <c r="I459" s="3">
        <v>42208</v>
      </c>
      <c r="J459">
        <v>7485</v>
      </c>
      <c r="K459">
        <v>668.27</v>
      </c>
      <c r="L459">
        <v>502.54</v>
      </c>
      <c r="M459">
        <f t="shared" si="63"/>
        <v>5002000.95</v>
      </c>
      <c r="N459">
        <f t="shared" si="64"/>
        <v>3761511.9000000004</v>
      </c>
      <c r="O459">
        <f t="shared" si="65"/>
        <v>1240489.0499999998</v>
      </c>
      <c r="P459" s="6">
        <f t="shared" si="66"/>
        <v>0.24799856345489094</v>
      </c>
      <c r="Q459">
        <f t="shared" si="67"/>
        <v>36</v>
      </c>
      <c r="R459">
        <f t="shared" si="68"/>
        <v>2015</v>
      </c>
      <c r="S459" t="str">
        <f t="shared" si="69"/>
        <v>June</v>
      </c>
      <c r="T459">
        <f t="shared" si="70"/>
        <v>6</v>
      </c>
      <c r="U459" t="str">
        <f t="shared" si="71"/>
        <v>High Profit</v>
      </c>
    </row>
    <row r="460" spans="1:21" x14ac:dyDescent="0.35">
      <c r="A460" s="5" t="s">
        <v>50</v>
      </c>
      <c r="B460" s="5" t="s">
        <v>491</v>
      </c>
      <c r="C460" t="s">
        <v>35</v>
      </c>
      <c r="D460" t="s">
        <v>671</v>
      </c>
      <c r="E460" t="s">
        <v>23</v>
      </c>
      <c r="F460" t="s">
        <v>24</v>
      </c>
      <c r="G460" s="3">
        <v>41240</v>
      </c>
      <c r="H460">
        <v>735968816</v>
      </c>
      <c r="I460" s="3">
        <v>41249</v>
      </c>
      <c r="J460">
        <v>8382</v>
      </c>
      <c r="K460">
        <v>205.7</v>
      </c>
      <c r="L460">
        <v>117.11</v>
      </c>
      <c r="M460">
        <f t="shared" si="63"/>
        <v>1724177.4</v>
      </c>
      <c r="N460">
        <f t="shared" si="64"/>
        <v>981616.02</v>
      </c>
      <c r="O460">
        <f t="shared" si="65"/>
        <v>742561.37999999989</v>
      </c>
      <c r="P460" s="6">
        <f t="shared" si="66"/>
        <v>0.43067574137092851</v>
      </c>
      <c r="Q460">
        <f t="shared" si="67"/>
        <v>9</v>
      </c>
      <c r="R460">
        <f t="shared" si="68"/>
        <v>2012</v>
      </c>
      <c r="S460" t="str">
        <f t="shared" si="69"/>
        <v>November</v>
      </c>
      <c r="T460">
        <f t="shared" si="70"/>
        <v>11</v>
      </c>
      <c r="U460" t="str">
        <f t="shared" si="71"/>
        <v>High Profit</v>
      </c>
    </row>
    <row r="461" spans="1:21" x14ac:dyDescent="0.35">
      <c r="A461" s="5" t="s">
        <v>42</v>
      </c>
      <c r="B461" s="5" t="s">
        <v>113</v>
      </c>
      <c r="C461" t="s">
        <v>58</v>
      </c>
      <c r="D461" t="s">
        <v>672</v>
      </c>
      <c r="E461" t="s">
        <v>23</v>
      </c>
      <c r="F461" t="s">
        <v>24</v>
      </c>
      <c r="G461" s="3">
        <v>41159</v>
      </c>
      <c r="H461">
        <v>303691565</v>
      </c>
      <c r="I461" s="3">
        <v>41201</v>
      </c>
      <c r="J461">
        <v>7938</v>
      </c>
      <c r="K461">
        <v>152.58000000000001</v>
      </c>
      <c r="L461">
        <v>97.44</v>
      </c>
      <c r="M461">
        <f t="shared" si="63"/>
        <v>1211180.04</v>
      </c>
      <c r="N461">
        <f t="shared" si="64"/>
        <v>773478.72</v>
      </c>
      <c r="O461">
        <f t="shared" si="65"/>
        <v>437701.32000000007</v>
      </c>
      <c r="P461" s="6">
        <f t="shared" si="66"/>
        <v>0.36138419189933152</v>
      </c>
      <c r="Q461">
        <f t="shared" si="67"/>
        <v>42</v>
      </c>
      <c r="R461">
        <f t="shared" si="68"/>
        <v>2012</v>
      </c>
      <c r="S461" t="str">
        <f t="shared" si="69"/>
        <v>September</v>
      </c>
      <c r="T461">
        <f t="shared" si="70"/>
        <v>9</v>
      </c>
      <c r="U461" t="str">
        <f t="shared" si="71"/>
        <v>Medium Profit</v>
      </c>
    </row>
    <row r="462" spans="1:21" x14ac:dyDescent="0.35">
      <c r="A462" s="5" t="s">
        <v>19</v>
      </c>
      <c r="B462" s="5" t="s">
        <v>229</v>
      </c>
      <c r="C462" t="s">
        <v>48</v>
      </c>
      <c r="D462" t="s">
        <v>673</v>
      </c>
      <c r="E462" t="s">
        <v>23</v>
      </c>
      <c r="F462" t="s">
        <v>32</v>
      </c>
      <c r="G462" s="3">
        <v>41083</v>
      </c>
      <c r="H462">
        <v>556480538</v>
      </c>
      <c r="I462" s="3">
        <v>41128</v>
      </c>
      <c r="J462">
        <v>3812</v>
      </c>
      <c r="K462">
        <v>109.28</v>
      </c>
      <c r="L462">
        <v>35.840000000000003</v>
      </c>
      <c r="M462">
        <f t="shared" si="63"/>
        <v>416575.36</v>
      </c>
      <c r="N462">
        <f t="shared" si="64"/>
        <v>136622.08000000002</v>
      </c>
      <c r="O462">
        <f t="shared" si="65"/>
        <v>279953.27999999997</v>
      </c>
      <c r="P462" s="6">
        <f t="shared" si="66"/>
        <v>0.67203513909224011</v>
      </c>
      <c r="Q462">
        <f t="shared" si="67"/>
        <v>45</v>
      </c>
      <c r="R462">
        <f t="shared" si="68"/>
        <v>2012</v>
      </c>
      <c r="S462" t="str">
        <f t="shared" si="69"/>
        <v>June</v>
      </c>
      <c r="T462">
        <f t="shared" si="70"/>
        <v>6</v>
      </c>
      <c r="U462" t="str">
        <f t="shared" si="71"/>
        <v>Medium Profit</v>
      </c>
    </row>
    <row r="463" spans="1:21" x14ac:dyDescent="0.35">
      <c r="A463" s="5" t="s">
        <v>37</v>
      </c>
      <c r="B463" s="5" t="s">
        <v>445</v>
      </c>
      <c r="C463" t="s">
        <v>72</v>
      </c>
      <c r="D463" t="s">
        <v>674</v>
      </c>
      <c r="E463" t="s">
        <v>23</v>
      </c>
      <c r="F463" t="s">
        <v>41</v>
      </c>
      <c r="G463" s="3">
        <v>41935</v>
      </c>
      <c r="H463">
        <v>141259562</v>
      </c>
      <c r="I463" s="3">
        <v>41954</v>
      </c>
      <c r="J463">
        <v>698</v>
      </c>
      <c r="K463">
        <v>47.45</v>
      </c>
      <c r="L463">
        <v>31.79</v>
      </c>
      <c r="M463">
        <f t="shared" si="63"/>
        <v>33120.1</v>
      </c>
      <c r="N463">
        <f t="shared" si="64"/>
        <v>22189.42</v>
      </c>
      <c r="O463">
        <f t="shared" si="65"/>
        <v>10930.68</v>
      </c>
      <c r="P463" s="6">
        <f t="shared" si="66"/>
        <v>0.33003161222339306</v>
      </c>
      <c r="Q463">
        <f t="shared" si="67"/>
        <v>19</v>
      </c>
      <c r="R463">
        <f t="shared" si="68"/>
        <v>2014</v>
      </c>
      <c r="S463" t="str">
        <f t="shared" si="69"/>
        <v>October</v>
      </c>
      <c r="T463">
        <f t="shared" si="70"/>
        <v>10</v>
      </c>
      <c r="U463" t="str">
        <f t="shared" si="71"/>
        <v>Low Profit</v>
      </c>
    </row>
    <row r="464" spans="1:21" x14ac:dyDescent="0.35">
      <c r="A464" s="5" t="s">
        <v>50</v>
      </c>
      <c r="B464" s="5" t="s">
        <v>195</v>
      </c>
      <c r="C464" t="s">
        <v>21</v>
      </c>
      <c r="D464" t="s">
        <v>675</v>
      </c>
      <c r="E464" t="s">
        <v>23</v>
      </c>
      <c r="F464" t="s">
        <v>32</v>
      </c>
      <c r="G464" s="3">
        <v>42265</v>
      </c>
      <c r="H464">
        <v>925264966</v>
      </c>
      <c r="I464" s="3">
        <v>42295</v>
      </c>
      <c r="J464">
        <v>5320</v>
      </c>
      <c r="K464">
        <v>437.2</v>
      </c>
      <c r="L464">
        <v>263.33</v>
      </c>
      <c r="M464">
        <f t="shared" si="63"/>
        <v>2325904</v>
      </c>
      <c r="N464">
        <f t="shared" si="64"/>
        <v>1400915.5999999999</v>
      </c>
      <c r="O464">
        <f t="shared" si="65"/>
        <v>924988.40000000014</v>
      </c>
      <c r="P464" s="6">
        <f t="shared" si="66"/>
        <v>0.3976898444647759</v>
      </c>
      <c r="Q464">
        <f t="shared" si="67"/>
        <v>30</v>
      </c>
      <c r="R464">
        <f t="shared" si="68"/>
        <v>2015</v>
      </c>
      <c r="S464" t="str">
        <f t="shared" si="69"/>
        <v>September</v>
      </c>
      <c r="T464">
        <f t="shared" si="70"/>
        <v>9</v>
      </c>
      <c r="U464" t="str">
        <f t="shared" si="71"/>
        <v>High Profit</v>
      </c>
    </row>
    <row r="465" spans="1:21" x14ac:dyDescent="0.35">
      <c r="A465" s="5" t="s">
        <v>42</v>
      </c>
      <c r="B465" s="5" t="s">
        <v>135</v>
      </c>
      <c r="C465" t="s">
        <v>69</v>
      </c>
      <c r="D465" t="s">
        <v>676</v>
      </c>
      <c r="E465" t="s">
        <v>29</v>
      </c>
      <c r="F465" t="s">
        <v>41</v>
      </c>
      <c r="G465" s="3">
        <v>42393</v>
      </c>
      <c r="H465">
        <v>346045577</v>
      </c>
      <c r="I465" s="3">
        <v>42420</v>
      </c>
      <c r="J465">
        <v>1431</v>
      </c>
      <c r="K465">
        <v>651.21</v>
      </c>
      <c r="L465">
        <v>524.96</v>
      </c>
      <c r="M465">
        <f t="shared" si="63"/>
        <v>931881.51</v>
      </c>
      <c r="N465">
        <f t="shared" si="64"/>
        <v>751217.76</v>
      </c>
      <c r="O465">
        <f t="shared" si="65"/>
        <v>180663.75</v>
      </c>
      <c r="P465" s="6">
        <f t="shared" si="66"/>
        <v>0.19386987300563566</v>
      </c>
      <c r="Q465">
        <f t="shared" si="67"/>
        <v>27</v>
      </c>
      <c r="R465">
        <f t="shared" si="68"/>
        <v>2016</v>
      </c>
      <c r="S465" t="str">
        <f t="shared" si="69"/>
        <v>January</v>
      </c>
      <c r="T465">
        <f t="shared" si="70"/>
        <v>1</v>
      </c>
      <c r="U465" t="str">
        <f t="shared" si="71"/>
        <v>Medium Profit</v>
      </c>
    </row>
    <row r="466" spans="1:21" x14ac:dyDescent="0.35">
      <c r="A466" s="5" t="s">
        <v>37</v>
      </c>
      <c r="B466" s="5" t="s">
        <v>384</v>
      </c>
      <c r="C466" t="s">
        <v>39</v>
      </c>
      <c r="D466" t="s">
        <v>677</v>
      </c>
      <c r="E466" t="s">
        <v>23</v>
      </c>
      <c r="F466" t="s">
        <v>41</v>
      </c>
      <c r="G466" s="3">
        <v>40260</v>
      </c>
      <c r="H466">
        <v>861462724</v>
      </c>
      <c r="I466" s="3">
        <v>40287</v>
      </c>
      <c r="J466">
        <v>4818</v>
      </c>
      <c r="K466">
        <v>9.33</v>
      </c>
      <c r="L466">
        <v>6.92</v>
      </c>
      <c r="M466">
        <f t="shared" si="63"/>
        <v>44951.94</v>
      </c>
      <c r="N466">
        <f t="shared" si="64"/>
        <v>33340.559999999998</v>
      </c>
      <c r="O466">
        <f t="shared" si="65"/>
        <v>11611.380000000005</v>
      </c>
      <c r="P466" s="6">
        <f t="shared" si="66"/>
        <v>0.25830653804930342</v>
      </c>
      <c r="Q466">
        <f t="shared" si="67"/>
        <v>27</v>
      </c>
      <c r="R466">
        <f t="shared" si="68"/>
        <v>2010</v>
      </c>
      <c r="S466" t="str">
        <f t="shared" si="69"/>
        <v>March</v>
      </c>
      <c r="T466">
        <f t="shared" si="70"/>
        <v>3</v>
      </c>
      <c r="U466" t="str">
        <f t="shared" si="71"/>
        <v>Low Profit</v>
      </c>
    </row>
    <row r="467" spans="1:21" x14ac:dyDescent="0.35">
      <c r="A467" s="5" t="s">
        <v>42</v>
      </c>
      <c r="B467" s="5" t="s">
        <v>43</v>
      </c>
      <c r="C467" t="s">
        <v>83</v>
      </c>
      <c r="D467" t="s">
        <v>678</v>
      </c>
      <c r="E467" t="s">
        <v>29</v>
      </c>
      <c r="F467" t="s">
        <v>24</v>
      </c>
      <c r="G467" s="3">
        <v>41116</v>
      </c>
      <c r="H467">
        <v>499690234</v>
      </c>
      <c r="I467" s="3">
        <v>41149</v>
      </c>
      <c r="J467">
        <v>8299</v>
      </c>
      <c r="K467">
        <v>81.73</v>
      </c>
      <c r="L467">
        <v>56.67</v>
      </c>
      <c r="M467">
        <f t="shared" si="63"/>
        <v>678277.27</v>
      </c>
      <c r="N467">
        <f t="shared" si="64"/>
        <v>470304.33</v>
      </c>
      <c r="O467">
        <f t="shared" si="65"/>
        <v>207972.94</v>
      </c>
      <c r="P467" s="6">
        <f t="shared" si="66"/>
        <v>0.30661935641747218</v>
      </c>
      <c r="Q467">
        <f t="shared" si="67"/>
        <v>33</v>
      </c>
      <c r="R467">
        <f t="shared" si="68"/>
        <v>2012</v>
      </c>
      <c r="S467" t="str">
        <f t="shared" si="69"/>
        <v>July</v>
      </c>
      <c r="T467">
        <f t="shared" si="70"/>
        <v>7</v>
      </c>
      <c r="U467" t="str">
        <f t="shared" si="71"/>
        <v>Medium Profit</v>
      </c>
    </row>
    <row r="468" spans="1:21" x14ac:dyDescent="0.35">
      <c r="A468" s="5" t="s">
        <v>25</v>
      </c>
      <c r="B468" s="5" t="s">
        <v>71</v>
      </c>
      <c r="C468" t="s">
        <v>48</v>
      </c>
      <c r="D468" t="s">
        <v>679</v>
      </c>
      <c r="E468" t="s">
        <v>29</v>
      </c>
      <c r="F468" t="s">
        <v>41</v>
      </c>
      <c r="G468" s="3">
        <v>42297</v>
      </c>
      <c r="H468">
        <v>509214437</v>
      </c>
      <c r="I468" s="3">
        <v>42310</v>
      </c>
      <c r="J468">
        <v>6722</v>
      </c>
      <c r="K468">
        <v>109.28</v>
      </c>
      <c r="L468">
        <v>35.840000000000003</v>
      </c>
      <c r="M468">
        <f t="shared" si="63"/>
        <v>734580.16</v>
      </c>
      <c r="N468">
        <f t="shared" si="64"/>
        <v>240916.48000000001</v>
      </c>
      <c r="O468">
        <f t="shared" si="65"/>
        <v>493663.68000000005</v>
      </c>
      <c r="P468" s="6">
        <f t="shared" si="66"/>
        <v>0.67203513909224011</v>
      </c>
      <c r="Q468">
        <f t="shared" si="67"/>
        <v>13</v>
      </c>
      <c r="R468">
        <f t="shared" si="68"/>
        <v>2015</v>
      </c>
      <c r="S468" t="str">
        <f t="shared" si="69"/>
        <v>October</v>
      </c>
      <c r="T468">
        <f t="shared" si="70"/>
        <v>10</v>
      </c>
      <c r="U468" t="str">
        <f t="shared" si="71"/>
        <v>Medium Profit</v>
      </c>
    </row>
    <row r="469" spans="1:21" x14ac:dyDescent="0.35">
      <c r="A469" s="5" t="s">
        <v>50</v>
      </c>
      <c r="B469" s="5" t="s">
        <v>631</v>
      </c>
      <c r="C469" t="s">
        <v>69</v>
      </c>
      <c r="D469" t="s">
        <v>680</v>
      </c>
      <c r="E469" t="s">
        <v>29</v>
      </c>
      <c r="F469" t="s">
        <v>24</v>
      </c>
      <c r="G469" s="3">
        <v>42913</v>
      </c>
      <c r="H469">
        <v>408834159</v>
      </c>
      <c r="I469" s="3">
        <v>42934</v>
      </c>
      <c r="J469">
        <v>1968</v>
      </c>
      <c r="K469">
        <v>651.21</v>
      </c>
      <c r="L469">
        <v>524.96</v>
      </c>
      <c r="M469">
        <f t="shared" si="63"/>
        <v>1281581.28</v>
      </c>
      <c r="N469">
        <f t="shared" si="64"/>
        <v>1033121.28</v>
      </c>
      <c r="O469">
        <f t="shared" si="65"/>
        <v>248460</v>
      </c>
      <c r="P469" s="6">
        <f t="shared" si="66"/>
        <v>0.19386987300563566</v>
      </c>
      <c r="Q469">
        <f t="shared" si="67"/>
        <v>21</v>
      </c>
      <c r="R469">
        <f t="shared" si="68"/>
        <v>2017</v>
      </c>
      <c r="S469" t="str">
        <f t="shared" si="69"/>
        <v>June</v>
      </c>
      <c r="T469">
        <f t="shared" si="70"/>
        <v>6</v>
      </c>
      <c r="U469" t="str">
        <f t="shared" si="71"/>
        <v>Medium Profit</v>
      </c>
    </row>
    <row r="470" spans="1:21" x14ac:dyDescent="0.35">
      <c r="A470" s="5" t="s">
        <v>42</v>
      </c>
      <c r="B470" s="5" t="s">
        <v>464</v>
      </c>
      <c r="C470" t="s">
        <v>72</v>
      </c>
      <c r="D470" t="s">
        <v>681</v>
      </c>
      <c r="E470" t="s">
        <v>23</v>
      </c>
      <c r="F470" t="s">
        <v>24</v>
      </c>
      <c r="G470" s="3">
        <v>42464</v>
      </c>
      <c r="H470">
        <v>237660729</v>
      </c>
      <c r="I470" s="3">
        <v>42490</v>
      </c>
      <c r="J470">
        <v>7946</v>
      </c>
      <c r="K470">
        <v>47.45</v>
      </c>
      <c r="L470">
        <v>31.79</v>
      </c>
      <c r="M470">
        <f t="shared" si="63"/>
        <v>377037.7</v>
      </c>
      <c r="N470">
        <f t="shared" si="64"/>
        <v>252603.34</v>
      </c>
      <c r="O470">
        <f t="shared" si="65"/>
        <v>124434.36000000002</v>
      </c>
      <c r="P470" s="6">
        <f t="shared" si="66"/>
        <v>0.33003161222339306</v>
      </c>
      <c r="Q470">
        <f t="shared" si="67"/>
        <v>26</v>
      </c>
      <c r="R470">
        <f t="shared" si="68"/>
        <v>2016</v>
      </c>
      <c r="S470" t="str">
        <f t="shared" si="69"/>
        <v>April</v>
      </c>
      <c r="T470">
        <f t="shared" si="70"/>
        <v>4</v>
      </c>
      <c r="U470" t="str">
        <f t="shared" si="71"/>
        <v>Medium Profit</v>
      </c>
    </row>
    <row r="471" spans="1:21" x14ac:dyDescent="0.35">
      <c r="A471" s="5" t="s">
        <v>42</v>
      </c>
      <c r="B471" s="5" t="s">
        <v>135</v>
      </c>
      <c r="C471" t="s">
        <v>48</v>
      </c>
      <c r="D471" t="s">
        <v>682</v>
      </c>
      <c r="E471" t="s">
        <v>29</v>
      </c>
      <c r="F471" t="s">
        <v>32</v>
      </c>
      <c r="G471" s="3">
        <v>42221</v>
      </c>
      <c r="H471">
        <v>105117976</v>
      </c>
      <c r="I471" s="3">
        <v>42256</v>
      </c>
      <c r="J471">
        <v>5600</v>
      </c>
      <c r="K471">
        <v>109.28</v>
      </c>
      <c r="L471">
        <v>35.840000000000003</v>
      </c>
      <c r="M471">
        <f t="shared" si="63"/>
        <v>611968</v>
      </c>
      <c r="N471">
        <f t="shared" si="64"/>
        <v>200704.00000000003</v>
      </c>
      <c r="O471">
        <f t="shared" si="65"/>
        <v>411264</v>
      </c>
      <c r="P471" s="6">
        <f t="shared" si="66"/>
        <v>0.67203513909224011</v>
      </c>
      <c r="Q471">
        <f t="shared" si="67"/>
        <v>35</v>
      </c>
      <c r="R471">
        <f t="shared" si="68"/>
        <v>2015</v>
      </c>
      <c r="S471" t="str">
        <f t="shared" si="69"/>
        <v>August</v>
      </c>
      <c r="T471">
        <f t="shared" si="70"/>
        <v>8</v>
      </c>
      <c r="U471" t="str">
        <f t="shared" si="71"/>
        <v>Medium Profit</v>
      </c>
    </row>
    <row r="472" spans="1:21" x14ac:dyDescent="0.35">
      <c r="A472" s="5" t="s">
        <v>37</v>
      </c>
      <c r="B472" s="5" t="s">
        <v>164</v>
      </c>
      <c r="C472" t="s">
        <v>35</v>
      </c>
      <c r="D472" t="s">
        <v>683</v>
      </c>
      <c r="E472" t="s">
        <v>23</v>
      </c>
      <c r="F472" t="s">
        <v>66</v>
      </c>
      <c r="G472" s="3">
        <v>41076</v>
      </c>
      <c r="H472">
        <v>640942227</v>
      </c>
      <c r="I472" s="3">
        <v>41094</v>
      </c>
      <c r="J472">
        <v>7903</v>
      </c>
      <c r="K472">
        <v>205.7</v>
      </c>
      <c r="L472">
        <v>117.11</v>
      </c>
      <c r="M472">
        <f t="shared" si="63"/>
        <v>1625647.0999999999</v>
      </c>
      <c r="N472">
        <f t="shared" si="64"/>
        <v>925520.33</v>
      </c>
      <c r="O472">
        <f t="shared" si="65"/>
        <v>700126.7699999999</v>
      </c>
      <c r="P472" s="6">
        <f t="shared" si="66"/>
        <v>0.43067574137092851</v>
      </c>
      <c r="Q472">
        <f t="shared" si="67"/>
        <v>18</v>
      </c>
      <c r="R472">
        <f t="shared" si="68"/>
        <v>2012</v>
      </c>
      <c r="S472" t="str">
        <f t="shared" si="69"/>
        <v>June</v>
      </c>
      <c r="T472">
        <f t="shared" si="70"/>
        <v>6</v>
      </c>
      <c r="U472" t="str">
        <f t="shared" si="71"/>
        <v>High Profit</v>
      </c>
    </row>
    <row r="473" spans="1:21" x14ac:dyDescent="0.35">
      <c r="A473" s="5" t="s">
        <v>33</v>
      </c>
      <c r="B473" s="5" t="s">
        <v>372</v>
      </c>
      <c r="C473" t="s">
        <v>21</v>
      </c>
      <c r="D473" t="s">
        <v>684</v>
      </c>
      <c r="E473" t="s">
        <v>29</v>
      </c>
      <c r="F473" t="s">
        <v>66</v>
      </c>
      <c r="G473" s="3">
        <v>42463</v>
      </c>
      <c r="H473">
        <v>745182311</v>
      </c>
      <c r="I473" s="3">
        <v>42495</v>
      </c>
      <c r="J473">
        <v>4860</v>
      </c>
      <c r="K473">
        <v>437.2</v>
      </c>
      <c r="L473">
        <v>263.33</v>
      </c>
      <c r="M473">
        <f t="shared" si="63"/>
        <v>2124792</v>
      </c>
      <c r="N473">
        <f t="shared" si="64"/>
        <v>1279783.7999999998</v>
      </c>
      <c r="O473">
        <f t="shared" si="65"/>
        <v>845008.20000000019</v>
      </c>
      <c r="P473" s="6">
        <f t="shared" si="66"/>
        <v>0.39768984446477595</v>
      </c>
      <c r="Q473">
        <f t="shared" si="67"/>
        <v>32</v>
      </c>
      <c r="R473">
        <f t="shared" si="68"/>
        <v>2016</v>
      </c>
      <c r="S473" t="str">
        <f t="shared" si="69"/>
        <v>April</v>
      </c>
      <c r="T473">
        <f t="shared" si="70"/>
        <v>4</v>
      </c>
      <c r="U473" t="str">
        <f t="shared" si="71"/>
        <v>High Profit</v>
      </c>
    </row>
    <row r="474" spans="1:21" x14ac:dyDescent="0.35">
      <c r="A474" s="5" t="s">
        <v>37</v>
      </c>
      <c r="B474" s="5" t="s">
        <v>411</v>
      </c>
      <c r="C474" t="s">
        <v>30</v>
      </c>
      <c r="D474" t="s">
        <v>685</v>
      </c>
      <c r="E474" t="s">
        <v>23</v>
      </c>
      <c r="F474" t="s">
        <v>32</v>
      </c>
      <c r="G474" s="3">
        <v>41903</v>
      </c>
      <c r="H474">
        <v>738199555</v>
      </c>
      <c r="I474" s="3">
        <v>41903</v>
      </c>
      <c r="J474">
        <v>8508</v>
      </c>
      <c r="K474">
        <v>255.28</v>
      </c>
      <c r="L474">
        <v>159.41999999999999</v>
      </c>
      <c r="M474">
        <f t="shared" si="63"/>
        <v>2171922.2400000002</v>
      </c>
      <c r="N474">
        <f t="shared" si="64"/>
        <v>1356345.3599999999</v>
      </c>
      <c r="O474">
        <f t="shared" si="65"/>
        <v>815576.88000000035</v>
      </c>
      <c r="P474" s="6">
        <f t="shared" si="66"/>
        <v>0.37550924475086195</v>
      </c>
      <c r="Q474">
        <f t="shared" si="67"/>
        <v>0</v>
      </c>
      <c r="R474">
        <f t="shared" si="68"/>
        <v>2014</v>
      </c>
      <c r="S474" t="str">
        <f t="shared" si="69"/>
        <v>September</v>
      </c>
      <c r="T474">
        <f t="shared" si="70"/>
        <v>9</v>
      </c>
      <c r="U474" t="str">
        <f t="shared" si="71"/>
        <v>High Profit</v>
      </c>
    </row>
    <row r="475" spans="1:21" x14ac:dyDescent="0.35">
      <c r="A475" s="5" t="s">
        <v>37</v>
      </c>
      <c r="B475" s="5" t="s">
        <v>115</v>
      </c>
      <c r="C475" t="s">
        <v>58</v>
      </c>
      <c r="D475" t="s">
        <v>686</v>
      </c>
      <c r="E475" t="s">
        <v>29</v>
      </c>
      <c r="F475" t="s">
        <v>66</v>
      </c>
      <c r="G475" s="3">
        <v>42224</v>
      </c>
      <c r="H475">
        <v>110667788</v>
      </c>
      <c r="I475" s="3">
        <v>42257</v>
      </c>
      <c r="J475">
        <v>7913</v>
      </c>
      <c r="K475">
        <v>152.58000000000001</v>
      </c>
      <c r="L475">
        <v>97.44</v>
      </c>
      <c r="M475">
        <f t="shared" si="63"/>
        <v>1207365.54</v>
      </c>
      <c r="N475">
        <f t="shared" si="64"/>
        <v>771042.72</v>
      </c>
      <c r="O475">
        <f t="shared" si="65"/>
        <v>436322.82000000007</v>
      </c>
      <c r="P475" s="6">
        <f t="shared" si="66"/>
        <v>0.36138419189933152</v>
      </c>
      <c r="Q475">
        <f t="shared" si="67"/>
        <v>33</v>
      </c>
      <c r="R475">
        <f t="shared" si="68"/>
        <v>2015</v>
      </c>
      <c r="S475" t="str">
        <f t="shared" si="69"/>
        <v>August</v>
      </c>
      <c r="T475">
        <f t="shared" si="70"/>
        <v>8</v>
      </c>
      <c r="U475" t="str">
        <f t="shared" si="71"/>
        <v>Medium Profit</v>
      </c>
    </row>
    <row r="476" spans="1:21" x14ac:dyDescent="0.35">
      <c r="A476" s="5" t="s">
        <v>37</v>
      </c>
      <c r="B476" s="5" t="s">
        <v>178</v>
      </c>
      <c r="C476" t="s">
        <v>69</v>
      </c>
      <c r="D476" t="s">
        <v>687</v>
      </c>
      <c r="E476" t="s">
        <v>29</v>
      </c>
      <c r="F476" t="s">
        <v>32</v>
      </c>
      <c r="G476" s="3">
        <v>41109</v>
      </c>
      <c r="H476">
        <v>673573338</v>
      </c>
      <c r="I476" s="3">
        <v>41110</v>
      </c>
      <c r="J476">
        <v>4174</v>
      </c>
      <c r="K476">
        <v>651.21</v>
      </c>
      <c r="L476">
        <v>524.96</v>
      </c>
      <c r="M476">
        <f t="shared" si="63"/>
        <v>2718150.54</v>
      </c>
      <c r="N476">
        <f t="shared" si="64"/>
        <v>2191183.04</v>
      </c>
      <c r="O476">
        <f t="shared" si="65"/>
        <v>526967.5</v>
      </c>
      <c r="P476" s="6">
        <f t="shared" si="66"/>
        <v>0.19386987300563566</v>
      </c>
      <c r="Q476">
        <f t="shared" si="67"/>
        <v>1</v>
      </c>
      <c r="R476">
        <f t="shared" si="68"/>
        <v>2012</v>
      </c>
      <c r="S476" t="str">
        <f t="shared" si="69"/>
        <v>July</v>
      </c>
      <c r="T476">
        <f t="shared" si="70"/>
        <v>7</v>
      </c>
      <c r="U476" t="str">
        <f t="shared" si="71"/>
        <v>High Profit</v>
      </c>
    </row>
    <row r="477" spans="1:21" x14ac:dyDescent="0.35">
      <c r="A477" s="5" t="s">
        <v>19</v>
      </c>
      <c r="B477" s="5" t="s">
        <v>118</v>
      </c>
      <c r="C477" t="s">
        <v>58</v>
      </c>
      <c r="D477" t="s">
        <v>688</v>
      </c>
      <c r="E477" t="s">
        <v>23</v>
      </c>
      <c r="F477" t="s">
        <v>41</v>
      </c>
      <c r="G477" s="3">
        <v>40781</v>
      </c>
      <c r="H477">
        <v>708215034</v>
      </c>
      <c r="I477" s="3">
        <v>40799</v>
      </c>
      <c r="J477">
        <v>5421</v>
      </c>
      <c r="K477">
        <v>152.58000000000001</v>
      </c>
      <c r="L477">
        <v>97.44</v>
      </c>
      <c r="M477">
        <f t="shared" si="63"/>
        <v>827136.18</v>
      </c>
      <c r="N477">
        <f t="shared" si="64"/>
        <v>528222.24</v>
      </c>
      <c r="O477">
        <f t="shared" si="65"/>
        <v>298913.94000000006</v>
      </c>
      <c r="P477" s="6">
        <f t="shared" si="66"/>
        <v>0.36138419189933157</v>
      </c>
      <c r="Q477">
        <f t="shared" si="67"/>
        <v>18</v>
      </c>
      <c r="R477">
        <f t="shared" si="68"/>
        <v>2011</v>
      </c>
      <c r="S477" t="str">
        <f t="shared" si="69"/>
        <v>August</v>
      </c>
      <c r="T477">
        <f t="shared" si="70"/>
        <v>8</v>
      </c>
      <c r="U477" t="str">
        <f t="shared" si="71"/>
        <v>Medium Profit</v>
      </c>
    </row>
    <row r="478" spans="1:21" x14ac:dyDescent="0.35">
      <c r="A478" s="5" t="s">
        <v>53</v>
      </c>
      <c r="B478" s="5" t="s">
        <v>402</v>
      </c>
      <c r="C478" t="s">
        <v>60</v>
      </c>
      <c r="D478" t="s">
        <v>689</v>
      </c>
      <c r="E478" t="s">
        <v>29</v>
      </c>
      <c r="F478" t="s">
        <v>24</v>
      </c>
      <c r="G478" s="3">
        <v>41083</v>
      </c>
      <c r="H478">
        <v>816204202</v>
      </c>
      <c r="I478" s="3">
        <v>41091</v>
      </c>
      <c r="J478">
        <v>1816</v>
      </c>
      <c r="K478">
        <v>668.27</v>
      </c>
      <c r="L478">
        <v>502.54</v>
      </c>
      <c r="M478">
        <f t="shared" si="63"/>
        <v>1213578.32</v>
      </c>
      <c r="N478">
        <f t="shared" si="64"/>
        <v>912612.64</v>
      </c>
      <c r="O478">
        <f t="shared" si="65"/>
        <v>300965.68000000005</v>
      </c>
      <c r="P478" s="6">
        <f t="shared" si="66"/>
        <v>0.24799856345489102</v>
      </c>
      <c r="Q478">
        <f t="shared" si="67"/>
        <v>8</v>
      </c>
      <c r="R478">
        <f t="shared" si="68"/>
        <v>2012</v>
      </c>
      <c r="S478" t="str">
        <f t="shared" si="69"/>
        <v>June</v>
      </c>
      <c r="T478">
        <f t="shared" si="70"/>
        <v>6</v>
      </c>
      <c r="U478" t="str">
        <f t="shared" si="71"/>
        <v>Medium Profit</v>
      </c>
    </row>
    <row r="479" spans="1:21" x14ac:dyDescent="0.35">
      <c r="A479" s="5" t="s">
        <v>42</v>
      </c>
      <c r="B479" s="5" t="s">
        <v>273</v>
      </c>
      <c r="C479" t="s">
        <v>72</v>
      </c>
      <c r="D479" t="s">
        <v>690</v>
      </c>
      <c r="E479" t="s">
        <v>23</v>
      </c>
      <c r="F479" t="s">
        <v>66</v>
      </c>
      <c r="G479" s="3">
        <v>40867</v>
      </c>
      <c r="H479">
        <v>769464671</v>
      </c>
      <c r="I479" s="3">
        <v>40901</v>
      </c>
      <c r="J479">
        <v>550</v>
      </c>
      <c r="K479">
        <v>47.45</v>
      </c>
      <c r="L479">
        <v>31.79</v>
      </c>
      <c r="M479">
        <f t="shared" si="63"/>
        <v>26097.5</v>
      </c>
      <c r="N479">
        <f t="shared" si="64"/>
        <v>17484.5</v>
      </c>
      <c r="O479">
        <f t="shared" si="65"/>
        <v>8613</v>
      </c>
      <c r="P479" s="6">
        <f t="shared" si="66"/>
        <v>0.33003161222339306</v>
      </c>
      <c r="Q479">
        <f t="shared" si="67"/>
        <v>34</v>
      </c>
      <c r="R479">
        <f t="shared" si="68"/>
        <v>2011</v>
      </c>
      <c r="S479" t="str">
        <f t="shared" si="69"/>
        <v>November</v>
      </c>
      <c r="T479">
        <f t="shared" si="70"/>
        <v>11</v>
      </c>
      <c r="U479" t="str">
        <f t="shared" si="71"/>
        <v>Low Profit</v>
      </c>
    </row>
    <row r="480" spans="1:21" x14ac:dyDescent="0.35">
      <c r="A480" s="5" t="s">
        <v>33</v>
      </c>
      <c r="B480" s="5" t="s">
        <v>141</v>
      </c>
      <c r="C480" t="s">
        <v>72</v>
      </c>
      <c r="D480" t="s">
        <v>691</v>
      </c>
      <c r="E480" t="s">
        <v>23</v>
      </c>
      <c r="F480" t="s">
        <v>66</v>
      </c>
      <c r="G480" s="3">
        <v>42137</v>
      </c>
      <c r="H480">
        <v>860232770</v>
      </c>
      <c r="I480" s="3">
        <v>42159</v>
      </c>
      <c r="J480">
        <v>848</v>
      </c>
      <c r="K480">
        <v>47.45</v>
      </c>
      <c r="L480">
        <v>31.79</v>
      </c>
      <c r="M480">
        <f t="shared" si="63"/>
        <v>40237.600000000006</v>
      </c>
      <c r="N480">
        <f t="shared" si="64"/>
        <v>26957.919999999998</v>
      </c>
      <c r="O480">
        <f t="shared" si="65"/>
        <v>13279.680000000008</v>
      </c>
      <c r="P480" s="6">
        <f t="shared" si="66"/>
        <v>0.33003161222339317</v>
      </c>
      <c r="Q480">
        <f t="shared" si="67"/>
        <v>22</v>
      </c>
      <c r="R480">
        <f t="shared" si="68"/>
        <v>2015</v>
      </c>
      <c r="S480" t="str">
        <f t="shared" si="69"/>
        <v>May</v>
      </c>
      <c r="T480">
        <f t="shared" si="70"/>
        <v>5</v>
      </c>
      <c r="U480" t="str">
        <f t="shared" si="71"/>
        <v>Low Profit</v>
      </c>
    </row>
    <row r="481" spans="1:21" x14ac:dyDescent="0.35">
      <c r="A481" s="5" t="s">
        <v>25</v>
      </c>
      <c r="B481" s="5" t="s">
        <v>184</v>
      </c>
      <c r="C481" t="s">
        <v>83</v>
      </c>
      <c r="D481" t="s">
        <v>692</v>
      </c>
      <c r="E481" t="s">
        <v>23</v>
      </c>
      <c r="F481" t="s">
        <v>32</v>
      </c>
      <c r="G481" s="3">
        <v>40375</v>
      </c>
      <c r="H481">
        <v>551057326</v>
      </c>
      <c r="I481" s="3">
        <v>40412</v>
      </c>
      <c r="J481">
        <v>8963</v>
      </c>
      <c r="K481">
        <v>81.73</v>
      </c>
      <c r="L481">
        <v>56.67</v>
      </c>
      <c r="M481">
        <f t="shared" si="63"/>
        <v>732545.99</v>
      </c>
      <c r="N481">
        <f t="shared" si="64"/>
        <v>507933.21</v>
      </c>
      <c r="O481">
        <f t="shared" si="65"/>
        <v>224612.77999999997</v>
      </c>
      <c r="P481" s="6">
        <f t="shared" si="66"/>
        <v>0.30661935641747212</v>
      </c>
      <c r="Q481">
        <f t="shared" si="67"/>
        <v>37</v>
      </c>
      <c r="R481">
        <f t="shared" si="68"/>
        <v>2010</v>
      </c>
      <c r="S481" t="str">
        <f t="shared" si="69"/>
        <v>July</v>
      </c>
      <c r="T481">
        <f t="shared" si="70"/>
        <v>7</v>
      </c>
      <c r="U481" t="str">
        <f t="shared" si="71"/>
        <v>Medium Profit</v>
      </c>
    </row>
    <row r="482" spans="1:21" x14ac:dyDescent="0.35">
      <c r="A482" s="5" t="s">
        <v>42</v>
      </c>
      <c r="B482" s="5" t="s">
        <v>400</v>
      </c>
      <c r="C482" t="s">
        <v>21</v>
      </c>
      <c r="D482" t="s">
        <v>693</v>
      </c>
      <c r="E482" t="s">
        <v>29</v>
      </c>
      <c r="F482" t="s">
        <v>32</v>
      </c>
      <c r="G482" s="3">
        <v>42511</v>
      </c>
      <c r="H482">
        <v>724799668</v>
      </c>
      <c r="I482" s="3">
        <v>42517</v>
      </c>
      <c r="J482">
        <v>3183</v>
      </c>
      <c r="K482">
        <v>437.2</v>
      </c>
      <c r="L482">
        <v>263.33</v>
      </c>
      <c r="M482">
        <f t="shared" si="63"/>
        <v>1391607.5999999999</v>
      </c>
      <c r="N482">
        <f t="shared" si="64"/>
        <v>838179.3899999999</v>
      </c>
      <c r="O482">
        <f t="shared" si="65"/>
        <v>553428.21</v>
      </c>
      <c r="P482" s="6">
        <f t="shared" si="66"/>
        <v>0.39768984446477584</v>
      </c>
      <c r="Q482">
        <f t="shared" si="67"/>
        <v>6</v>
      </c>
      <c r="R482">
        <f t="shared" si="68"/>
        <v>2016</v>
      </c>
      <c r="S482" t="str">
        <f t="shared" si="69"/>
        <v>May</v>
      </c>
      <c r="T482">
        <f t="shared" si="70"/>
        <v>5</v>
      </c>
      <c r="U482" t="str">
        <f t="shared" si="71"/>
        <v>High Profit</v>
      </c>
    </row>
    <row r="483" spans="1:21" x14ac:dyDescent="0.35">
      <c r="A483" s="5" t="s">
        <v>53</v>
      </c>
      <c r="B483" s="5" t="s">
        <v>381</v>
      </c>
      <c r="C483" t="s">
        <v>21</v>
      </c>
      <c r="D483" t="s">
        <v>694</v>
      </c>
      <c r="E483" t="s">
        <v>23</v>
      </c>
      <c r="F483" t="s">
        <v>41</v>
      </c>
      <c r="G483" s="3">
        <v>40655</v>
      </c>
      <c r="H483">
        <v>534633624</v>
      </c>
      <c r="I483" s="3">
        <v>40702</v>
      </c>
      <c r="J483">
        <v>8825</v>
      </c>
      <c r="K483">
        <v>437.2</v>
      </c>
      <c r="L483">
        <v>263.33</v>
      </c>
      <c r="M483">
        <f t="shared" si="63"/>
        <v>3858290</v>
      </c>
      <c r="N483">
        <f t="shared" si="64"/>
        <v>2323887.25</v>
      </c>
      <c r="O483">
        <f t="shared" si="65"/>
        <v>1534402.75</v>
      </c>
      <c r="P483" s="6">
        <f t="shared" si="66"/>
        <v>0.39768984446477584</v>
      </c>
      <c r="Q483">
        <f t="shared" si="67"/>
        <v>47</v>
      </c>
      <c r="R483">
        <f t="shared" si="68"/>
        <v>2011</v>
      </c>
      <c r="S483" t="str">
        <f t="shared" si="69"/>
        <v>April</v>
      </c>
      <c r="T483">
        <f t="shared" si="70"/>
        <v>4</v>
      </c>
      <c r="U483" t="str">
        <f t="shared" si="71"/>
        <v>High Profit</v>
      </c>
    </row>
    <row r="484" spans="1:21" x14ac:dyDescent="0.35">
      <c r="A484" s="5" t="s">
        <v>37</v>
      </c>
      <c r="B484" s="5" t="s">
        <v>275</v>
      </c>
      <c r="C484" t="s">
        <v>72</v>
      </c>
      <c r="D484" t="s">
        <v>695</v>
      </c>
      <c r="E484" t="s">
        <v>23</v>
      </c>
      <c r="F484" t="s">
        <v>41</v>
      </c>
      <c r="G484" s="3">
        <v>41135</v>
      </c>
      <c r="H484">
        <v>554045522</v>
      </c>
      <c r="I484" s="3">
        <v>41172</v>
      </c>
      <c r="J484">
        <v>3237</v>
      </c>
      <c r="K484">
        <v>47.45</v>
      </c>
      <c r="L484">
        <v>31.79</v>
      </c>
      <c r="M484">
        <f t="shared" si="63"/>
        <v>153595.65000000002</v>
      </c>
      <c r="N484">
        <f t="shared" si="64"/>
        <v>102904.23</v>
      </c>
      <c r="O484">
        <f t="shared" si="65"/>
        <v>50691.420000000027</v>
      </c>
      <c r="P484" s="6">
        <f t="shared" si="66"/>
        <v>0.33003161222339317</v>
      </c>
      <c r="Q484">
        <f t="shared" si="67"/>
        <v>37</v>
      </c>
      <c r="R484">
        <f t="shared" si="68"/>
        <v>2012</v>
      </c>
      <c r="S484" t="str">
        <f t="shared" si="69"/>
        <v>August</v>
      </c>
      <c r="T484">
        <f t="shared" si="70"/>
        <v>8</v>
      </c>
      <c r="U484" t="str">
        <f t="shared" si="71"/>
        <v>Low Profit</v>
      </c>
    </row>
    <row r="485" spans="1:21" x14ac:dyDescent="0.35">
      <c r="A485" s="5" t="s">
        <v>42</v>
      </c>
      <c r="B485" s="5" t="s">
        <v>249</v>
      </c>
      <c r="C485" t="s">
        <v>48</v>
      </c>
      <c r="D485" t="s">
        <v>696</v>
      </c>
      <c r="E485" t="s">
        <v>29</v>
      </c>
      <c r="F485" t="s">
        <v>32</v>
      </c>
      <c r="G485" s="3">
        <v>40985</v>
      </c>
      <c r="H485">
        <v>526834189</v>
      </c>
      <c r="I485" s="3">
        <v>41031</v>
      </c>
      <c r="J485">
        <v>799</v>
      </c>
      <c r="K485">
        <v>109.28</v>
      </c>
      <c r="L485">
        <v>35.840000000000003</v>
      </c>
      <c r="M485">
        <f t="shared" si="63"/>
        <v>87314.72</v>
      </c>
      <c r="N485">
        <f t="shared" si="64"/>
        <v>28636.160000000003</v>
      </c>
      <c r="O485">
        <f t="shared" si="65"/>
        <v>58678.559999999998</v>
      </c>
      <c r="P485" s="6">
        <f t="shared" si="66"/>
        <v>0.67203513909224011</v>
      </c>
      <c r="Q485">
        <f t="shared" si="67"/>
        <v>46</v>
      </c>
      <c r="R485">
        <f t="shared" si="68"/>
        <v>2012</v>
      </c>
      <c r="S485" t="str">
        <f t="shared" si="69"/>
        <v>March</v>
      </c>
      <c r="T485">
        <f t="shared" si="70"/>
        <v>3</v>
      </c>
      <c r="U485" t="str">
        <f t="shared" si="71"/>
        <v>Low Profit</v>
      </c>
    </row>
    <row r="486" spans="1:21" x14ac:dyDescent="0.35">
      <c r="A486" s="5" t="s">
        <v>37</v>
      </c>
      <c r="B486" s="5" t="s">
        <v>384</v>
      </c>
      <c r="C486" t="s">
        <v>60</v>
      </c>
      <c r="D486" t="s">
        <v>697</v>
      </c>
      <c r="E486" t="s">
        <v>29</v>
      </c>
      <c r="F486" t="s">
        <v>32</v>
      </c>
      <c r="G486" s="3">
        <v>40396</v>
      </c>
      <c r="H486">
        <v>717110955</v>
      </c>
      <c r="I486" s="3">
        <v>40399</v>
      </c>
      <c r="J486">
        <v>7922</v>
      </c>
      <c r="K486">
        <v>668.27</v>
      </c>
      <c r="L486">
        <v>502.54</v>
      </c>
      <c r="M486">
        <f t="shared" si="63"/>
        <v>5294034.9399999995</v>
      </c>
      <c r="N486">
        <f t="shared" si="64"/>
        <v>3981121.8800000004</v>
      </c>
      <c r="O486">
        <f t="shared" si="65"/>
        <v>1312913.0599999991</v>
      </c>
      <c r="P486" s="6">
        <f t="shared" si="66"/>
        <v>0.24799856345489085</v>
      </c>
      <c r="Q486">
        <f t="shared" si="67"/>
        <v>3</v>
      </c>
      <c r="R486">
        <f t="shared" si="68"/>
        <v>2010</v>
      </c>
      <c r="S486" t="str">
        <f t="shared" si="69"/>
        <v>August</v>
      </c>
      <c r="T486">
        <f t="shared" si="70"/>
        <v>8</v>
      </c>
      <c r="U486" t="str">
        <f t="shared" si="71"/>
        <v>High Profit</v>
      </c>
    </row>
    <row r="487" spans="1:21" x14ac:dyDescent="0.35">
      <c r="A487" s="5" t="s">
        <v>37</v>
      </c>
      <c r="B487" s="5" t="s">
        <v>208</v>
      </c>
      <c r="C487" t="s">
        <v>30</v>
      </c>
      <c r="D487" t="s">
        <v>698</v>
      </c>
      <c r="E487" t="s">
        <v>23</v>
      </c>
      <c r="F487" t="s">
        <v>66</v>
      </c>
      <c r="G487" s="3">
        <v>41330</v>
      </c>
      <c r="H487">
        <v>559299647</v>
      </c>
      <c r="I487" s="3">
        <v>41359</v>
      </c>
      <c r="J487">
        <v>8049</v>
      </c>
      <c r="K487">
        <v>255.28</v>
      </c>
      <c r="L487">
        <v>159.41999999999999</v>
      </c>
      <c r="M487">
        <f t="shared" si="63"/>
        <v>2054748.72</v>
      </c>
      <c r="N487">
        <f t="shared" si="64"/>
        <v>1283171.5799999998</v>
      </c>
      <c r="O487">
        <f t="shared" si="65"/>
        <v>771577.14000000013</v>
      </c>
      <c r="P487" s="6">
        <f t="shared" si="66"/>
        <v>0.37550924475086189</v>
      </c>
      <c r="Q487">
        <f t="shared" si="67"/>
        <v>29</v>
      </c>
      <c r="R487">
        <f t="shared" si="68"/>
        <v>2013</v>
      </c>
      <c r="S487" t="str">
        <f t="shared" si="69"/>
        <v>February</v>
      </c>
      <c r="T487">
        <f t="shared" si="70"/>
        <v>2</v>
      </c>
      <c r="U487" t="str">
        <f t="shared" si="71"/>
        <v>High Profit</v>
      </c>
    </row>
    <row r="488" spans="1:21" x14ac:dyDescent="0.35">
      <c r="A488" s="5" t="s">
        <v>25</v>
      </c>
      <c r="B488" s="5" t="s">
        <v>184</v>
      </c>
      <c r="C488" t="s">
        <v>92</v>
      </c>
      <c r="D488" t="s">
        <v>699</v>
      </c>
      <c r="E488" t="s">
        <v>29</v>
      </c>
      <c r="F488" t="s">
        <v>24</v>
      </c>
      <c r="G488" s="3">
        <v>40608</v>
      </c>
      <c r="H488">
        <v>908136594</v>
      </c>
      <c r="I488" s="3">
        <v>40612</v>
      </c>
      <c r="J488">
        <v>6654</v>
      </c>
      <c r="K488">
        <v>421.89</v>
      </c>
      <c r="L488">
        <v>364.69</v>
      </c>
      <c r="M488">
        <f t="shared" si="63"/>
        <v>2807256.06</v>
      </c>
      <c r="N488">
        <f t="shared" si="64"/>
        <v>2426647.2599999998</v>
      </c>
      <c r="O488">
        <f t="shared" si="65"/>
        <v>380608.80000000028</v>
      </c>
      <c r="P488" s="6">
        <f t="shared" si="66"/>
        <v>0.13558036455000128</v>
      </c>
      <c r="Q488">
        <f t="shared" si="67"/>
        <v>4</v>
      </c>
      <c r="R488">
        <f t="shared" si="68"/>
        <v>2011</v>
      </c>
      <c r="S488" t="str">
        <f t="shared" si="69"/>
        <v>March</v>
      </c>
      <c r="T488">
        <f t="shared" si="70"/>
        <v>3</v>
      </c>
      <c r="U488" t="str">
        <f t="shared" si="71"/>
        <v>Medium Profit</v>
      </c>
    </row>
    <row r="489" spans="1:21" x14ac:dyDescent="0.35">
      <c r="A489" s="5" t="s">
        <v>19</v>
      </c>
      <c r="B489" s="5" t="s">
        <v>700</v>
      </c>
      <c r="C489" t="s">
        <v>69</v>
      </c>
      <c r="D489" t="s">
        <v>701</v>
      </c>
      <c r="E489" t="s">
        <v>23</v>
      </c>
      <c r="F489" t="s">
        <v>24</v>
      </c>
      <c r="G489" s="3">
        <v>42352</v>
      </c>
      <c r="H489">
        <v>888670623</v>
      </c>
      <c r="I489" s="3">
        <v>42354</v>
      </c>
      <c r="J489">
        <v>6240</v>
      </c>
      <c r="K489">
        <v>651.21</v>
      </c>
      <c r="L489">
        <v>524.96</v>
      </c>
      <c r="M489">
        <f t="shared" si="63"/>
        <v>4063550.4000000004</v>
      </c>
      <c r="N489">
        <f t="shared" si="64"/>
        <v>3275750.4000000004</v>
      </c>
      <c r="O489">
        <f t="shared" si="65"/>
        <v>787800</v>
      </c>
      <c r="P489" s="6">
        <f t="shared" si="66"/>
        <v>0.19386987300563566</v>
      </c>
      <c r="Q489">
        <f t="shared" si="67"/>
        <v>2</v>
      </c>
      <c r="R489">
        <f t="shared" si="68"/>
        <v>2015</v>
      </c>
      <c r="S489" t="str">
        <f t="shared" si="69"/>
        <v>December</v>
      </c>
      <c r="T489">
        <f t="shared" si="70"/>
        <v>12</v>
      </c>
      <c r="U489" t="str">
        <f t="shared" si="71"/>
        <v>High Profit</v>
      </c>
    </row>
    <row r="490" spans="1:21" x14ac:dyDescent="0.35">
      <c r="A490" s="5" t="s">
        <v>42</v>
      </c>
      <c r="B490" s="5" t="s">
        <v>390</v>
      </c>
      <c r="C490" t="s">
        <v>69</v>
      </c>
      <c r="D490" t="s">
        <v>702</v>
      </c>
      <c r="E490" t="s">
        <v>23</v>
      </c>
      <c r="F490" t="s">
        <v>32</v>
      </c>
      <c r="G490" s="3">
        <v>42776</v>
      </c>
      <c r="H490">
        <v>146263062</v>
      </c>
      <c r="I490" s="3">
        <v>42782</v>
      </c>
      <c r="J490">
        <v>1345</v>
      </c>
      <c r="K490">
        <v>651.21</v>
      </c>
      <c r="L490">
        <v>524.96</v>
      </c>
      <c r="M490">
        <f t="shared" si="63"/>
        <v>875877.45000000007</v>
      </c>
      <c r="N490">
        <f t="shared" si="64"/>
        <v>706071.20000000007</v>
      </c>
      <c r="O490">
        <f t="shared" si="65"/>
        <v>169806.25</v>
      </c>
      <c r="P490" s="6">
        <f t="shared" si="66"/>
        <v>0.19386987300563566</v>
      </c>
      <c r="Q490">
        <f t="shared" si="67"/>
        <v>6</v>
      </c>
      <c r="R490">
        <f t="shared" si="68"/>
        <v>2017</v>
      </c>
      <c r="S490" t="str">
        <f t="shared" si="69"/>
        <v>February</v>
      </c>
      <c r="T490">
        <f t="shared" si="70"/>
        <v>2</v>
      </c>
      <c r="U490" t="str">
        <f t="shared" si="71"/>
        <v>Medium Profit</v>
      </c>
    </row>
    <row r="491" spans="1:21" x14ac:dyDescent="0.35">
      <c r="A491" s="5" t="s">
        <v>33</v>
      </c>
      <c r="B491" s="5" t="s">
        <v>247</v>
      </c>
      <c r="C491" t="s">
        <v>69</v>
      </c>
      <c r="D491" t="s">
        <v>703</v>
      </c>
      <c r="E491" t="s">
        <v>23</v>
      </c>
      <c r="F491" t="s">
        <v>66</v>
      </c>
      <c r="G491" s="3">
        <v>42633</v>
      </c>
      <c r="H491">
        <v>196587741</v>
      </c>
      <c r="I491" s="3">
        <v>42671</v>
      </c>
      <c r="J491">
        <v>3536</v>
      </c>
      <c r="K491">
        <v>651.21</v>
      </c>
      <c r="L491">
        <v>524.96</v>
      </c>
      <c r="M491">
        <f t="shared" si="63"/>
        <v>2302678.56</v>
      </c>
      <c r="N491">
        <f t="shared" si="64"/>
        <v>1856258.56</v>
      </c>
      <c r="O491">
        <f t="shared" si="65"/>
        <v>446420</v>
      </c>
      <c r="P491" s="6">
        <f t="shared" si="66"/>
        <v>0.19386987300563566</v>
      </c>
      <c r="Q491">
        <f t="shared" si="67"/>
        <v>38</v>
      </c>
      <c r="R491">
        <f t="shared" si="68"/>
        <v>2016</v>
      </c>
      <c r="S491" t="str">
        <f t="shared" si="69"/>
        <v>September</v>
      </c>
      <c r="T491">
        <f t="shared" si="70"/>
        <v>9</v>
      </c>
      <c r="U491" t="str">
        <f t="shared" si="71"/>
        <v>Medium Profit</v>
      </c>
    </row>
    <row r="492" spans="1:21" x14ac:dyDescent="0.35">
      <c r="A492" s="5" t="s">
        <v>50</v>
      </c>
      <c r="B492" s="5" t="s">
        <v>152</v>
      </c>
      <c r="C492" t="s">
        <v>30</v>
      </c>
      <c r="D492" t="s">
        <v>704</v>
      </c>
      <c r="E492" t="s">
        <v>29</v>
      </c>
      <c r="F492" t="s">
        <v>24</v>
      </c>
      <c r="G492" s="3">
        <v>40298</v>
      </c>
      <c r="H492">
        <v>375630986</v>
      </c>
      <c r="I492" s="3">
        <v>40331</v>
      </c>
      <c r="J492">
        <v>6411</v>
      </c>
      <c r="K492">
        <v>255.28</v>
      </c>
      <c r="L492">
        <v>159.41999999999999</v>
      </c>
      <c r="M492">
        <f t="shared" si="63"/>
        <v>1636600.08</v>
      </c>
      <c r="N492">
        <f t="shared" si="64"/>
        <v>1022041.6199999999</v>
      </c>
      <c r="O492">
        <f t="shared" si="65"/>
        <v>614558.4600000002</v>
      </c>
      <c r="P492" s="6">
        <f t="shared" si="66"/>
        <v>0.37550924475086189</v>
      </c>
      <c r="Q492">
        <f t="shared" si="67"/>
        <v>33</v>
      </c>
      <c r="R492">
        <f t="shared" si="68"/>
        <v>2010</v>
      </c>
      <c r="S492" t="str">
        <f t="shared" si="69"/>
        <v>April</v>
      </c>
      <c r="T492">
        <f t="shared" si="70"/>
        <v>4</v>
      </c>
      <c r="U492" t="str">
        <f t="shared" si="71"/>
        <v>High Profit</v>
      </c>
    </row>
    <row r="493" spans="1:21" x14ac:dyDescent="0.35">
      <c r="A493" s="5" t="s">
        <v>42</v>
      </c>
      <c r="B493" s="5" t="s">
        <v>361</v>
      </c>
      <c r="C493" t="s">
        <v>72</v>
      </c>
      <c r="D493" t="s">
        <v>705</v>
      </c>
      <c r="E493" t="s">
        <v>23</v>
      </c>
      <c r="F493" t="s">
        <v>41</v>
      </c>
      <c r="G493" s="3">
        <v>41450</v>
      </c>
      <c r="H493">
        <v>989691627</v>
      </c>
      <c r="I493" s="3">
        <v>41465</v>
      </c>
      <c r="J493">
        <v>600</v>
      </c>
      <c r="K493">
        <v>47.45</v>
      </c>
      <c r="L493">
        <v>31.79</v>
      </c>
      <c r="M493">
        <f t="shared" si="63"/>
        <v>28470</v>
      </c>
      <c r="N493">
        <f t="shared" si="64"/>
        <v>19074</v>
      </c>
      <c r="O493">
        <f t="shared" si="65"/>
        <v>9396</v>
      </c>
      <c r="P493" s="6">
        <f t="shared" si="66"/>
        <v>0.33003161222339306</v>
      </c>
      <c r="Q493">
        <f t="shared" si="67"/>
        <v>15</v>
      </c>
      <c r="R493">
        <f t="shared" si="68"/>
        <v>2013</v>
      </c>
      <c r="S493" t="str">
        <f t="shared" si="69"/>
        <v>June</v>
      </c>
      <c r="T493">
        <f t="shared" si="70"/>
        <v>6</v>
      </c>
      <c r="U493" t="str">
        <f t="shared" si="71"/>
        <v>Low Profit</v>
      </c>
    </row>
    <row r="494" spans="1:21" x14ac:dyDescent="0.35">
      <c r="A494" s="5" t="s">
        <v>42</v>
      </c>
      <c r="B494" s="5" t="s">
        <v>324</v>
      </c>
      <c r="C494" t="s">
        <v>60</v>
      </c>
      <c r="D494" t="s">
        <v>706</v>
      </c>
      <c r="E494" t="s">
        <v>23</v>
      </c>
      <c r="F494" t="s">
        <v>41</v>
      </c>
      <c r="G494" s="3">
        <v>41094</v>
      </c>
      <c r="H494">
        <v>165380990</v>
      </c>
      <c r="I494" s="3">
        <v>41117</v>
      </c>
      <c r="J494">
        <v>8765</v>
      </c>
      <c r="K494">
        <v>668.27</v>
      </c>
      <c r="L494">
        <v>502.54</v>
      </c>
      <c r="M494">
        <f t="shared" si="63"/>
        <v>5857386.5499999998</v>
      </c>
      <c r="N494">
        <f t="shared" si="64"/>
        <v>4404763.1000000006</v>
      </c>
      <c r="O494">
        <f t="shared" si="65"/>
        <v>1452623.4499999993</v>
      </c>
      <c r="P494" s="6">
        <f t="shared" si="66"/>
        <v>0.24799856345489088</v>
      </c>
      <c r="Q494">
        <f t="shared" si="67"/>
        <v>23</v>
      </c>
      <c r="R494">
        <f t="shared" si="68"/>
        <v>2012</v>
      </c>
      <c r="S494" t="str">
        <f t="shared" si="69"/>
        <v>July</v>
      </c>
      <c r="T494">
        <f t="shared" si="70"/>
        <v>7</v>
      </c>
      <c r="U494" t="str">
        <f t="shared" si="71"/>
        <v>High Profit</v>
      </c>
    </row>
    <row r="495" spans="1:21" x14ac:dyDescent="0.35">
      <c r="A495" s="5" t="s">
        <v>50</v>
      </c>
      <c r="B495" s="5" t="s">
        <v>707</v>
      </c>
      <c r="C495" t="s">
        <v>58</v>
      </c>
      <c r="D495" t="s">
        <v>708</v>
      </c>
      <c r="E495" t="s">
        <v>29</v>
      </c>
      <c r="F495" t="s">
        <v>32</v>
      </c>
      <c r="G495" s="3">
        <v>41538</v>
      </c>
      <c r="H495">
        <v>599622905</v>
      </c>
      <c r="I495" s="3">
        <v>41569</v>
      </c>
      <c r="J495">
        <v>597</v>
      </c>
      <c r="K495">
        <v>152.58000000000001</v>
      </c>
      <c r="L495">
        <v>97.44</v>
      </c>
      <c r="M495">
        <f t="shared" si="63"/>
        <v>91090.260000000009</v>
      </c>
      <c r="N495">
        <f t="shared" si="64"/>
        <v>58171.68</v>
      </c>
      <c r="O495">
        <f t="shared" si="65"/>
        <v>32918.580000000009</v>
      </c>
      <c r="P495" s="6">
        <f t="shared" si="66"/>
        <v>0.36138419189933157</v>
      </c>
      <c r="Q495">
        <f t="shared" si="67"/>
        <v>31</v>
      </c>
      <c r="R495">
        <f t="shared" si="68"/>
        <v>2013</v>
      </c>
      <c r="S495" t="str">
        <f t="shared" si="69"/>
        <v>September</v>
      </c>
      <c r="T495">
        <f t="shared" si="70"/>
        <v>9</v>
      </c>
      <c r="U495" t="str">
        <f t="shared" si="71"/>
        <v>Low Profit</v>
      </c>
    </row>
    <row r="496" spans="1:21" x14ac:dyDescent="0.35">
      <c r="A496" s="5" t="s">
        <v>42</v>
      </c>
      <c r="B496" s="5" t="s">
        <v>111</v>
      </c>
      <c r="C496" t="s">
        <v>83</v>
      </c>
      <c r="D496" t="s">
        <v>709</v>
      </c>
      <c r="E496" t="s">
        <v>23</v>
      </c>
      <c r="F496" t="s">
        <v>32</v>
      </c>
      <c r="G496" s="3">
        <v>42712</v>
      </c>
      <c r="H496">
        <v>109653699</v>
      </c>
      <c r="I496" s="3">
        <v>42741</v>
      </c>
      <c r="J496">
        <v>7821</v>
      </c>
      <c r="K496">
        <v>81.73</v>
      </c>
      <c r="L496">
        <v>56.67</v>
      </c>
      <c r="M496">
        <f t="shared" si="63"/>
        <v>639210.33000000007</v>
      </c>
      <c r="N496">
        <f t="shared" si="64"/>
        <v>443216.07</v>
      </c>
      <c r="O496">
        <f t="shared" si="65"/>
        <v>195994.26000000007</v>
      </c>
      <c r="P496" s="6">
        <f t="shared" si="66"/>
        <v>0.30661935641747223</v>
      </c>
      <c r="Q496">
        <f t="shared" si="67"/>
        <v>29</v>
      </c>
      <c r="R496">
        <f t="shared" si="68"/>
        <v>2016</v>
      </c>
      <c r="S496" t="str">
        <f t="shared" si="69"/>
        <v>December</v>
      </c>
      <c r="T496">
        <f t="shared" si="70"/>
        <v>12</v>
      </c>
      <c r="U496" t="str">
        <f t="shared" si="71"/>
        <v>Medium Profit</v>
      </c>
    </row>
    <row r="497" spans="1:21" x14ac:dyDescent="0.35">
      <c r="A497" s="5" t="s">
        <v>19</v>
      </c>
      <c r="B497" s="5" t="s">
        <v>82</v>
      </c>
      <c r="C497" t="s">
        <v>92</v>
      </c>
      <c r="D497" t="s">
        <v>710</v>
      </c>
      <c r="E497" t="s">
        <v>23</v>
      </c>
      <c r="F497" t="s">
        <v>24</v>
      </c>
      <c r="G497" s="3">
        <v>40788</v>
      </c>
      <c r="H497">
        <v>183022201</v>
      </c>
      <c r="I497" s="3">
        <v>40831</v>
      </c>
      <c r="J497">
        <v>9191</v>
      </c>
      <c r="K497">
        <v>421.89</v>
      </c>
      <c r="L497">
        <v>364.69</v>
      </c>
      <c r="M497">
        <f t="shared" si="63"/>
        <v>3877590.9899999998</v>
      </c>
      <c r="N497">
        <f t="shared" si="64"/>
        <v>3351865.79</v>
      </c>
      <c r="O497">
        <f t="shared" si="65"/>
        <v>525725.19999999972</v>
      </c>
      <c r="P497" s="6">
        <f t="shared" si="66"/>
        <v>0.13558036455000111</v>
      </c>
      <c r="Q497">
        <f t="shared" si="67"/>
        <v>43</v>
      </c>
      <c r="R497">
        <f t="shared" si="68"/>
        <v>2011</v>
      </c>
      <c r="S497" t="str">
        <f t="shared" si="69"/>
        <v>September</v>
      </c>
      <c r="T497">
        <f t="shared" si="70"/>
        <v>9</v>
      </c>
      <c r="U497" t="str">
        <f t="shared" si="71"/>
        <v>High Profit</v>
      </c>
    </row>
    <row r="498" spans="1:21" x14ac:dyDescent="0.35">
      <c r="A498" s="5" t="s">
        <v>42</v>
      </c>
      <c r="B498" s="5" t="s">
        <v>145</v>
      </c>
      <c r="C498" t="s">
        <v>83</v>
      </c>
      <c r="D498" t="s">
        <v>711</v>
      </c>
      <c r="E498" t="s">
        <v>29</v>
      </c>
      <c r="F498" t="s">
        <v>66</v>
      </c>
      <c r="G498" s="3">
        <v>40623</v>
      </c>
      <c r="H498">
        <v>127589738</v>
      </c>
      <c r="I498" s="3">
        <v>40635</v>
      </c>
      <c r="J498">
        <v>5494</v>
      </c>
      <c r="K498">
        <v>81.73</v>
      </c>
      <c r="L498">
        <v>56.67</v>
      </c>
      <c r="M498">
        <f t="shared" si="63"/>
        <v>449024.62</v>
      </c>
      <c r="N498">
        <f t="shared" si="64"/>
        <v>311344.98</v>
      </c>
      <c r="O498">
        <f t="shared" si="65"/>
        <v>137679.64000000001</v>
      </c>
      <c r="P498" s="6">
        <f t="shared" si="66"/>
        <v>0.30661935641747218</v>
      </c>
      <c r="Q498">
        <f t="shared" si="67"/>
        <v>12</v>
      </c>
      <c r="R498">
        <f t="shared" si="68"/>
        <v>2011</v>
      </c>
      <c r="S498" t="str">
        <f t="shared" si="69"/>
        <v>March</v>
      </c>
      <c r="T498">
        <f t="shared" si="70"/>
        <v>3</v>
      </c>
      <c r="U498" t="str">
        <f t="shared" si="71"/>
        <v>Medium Profit</v>
      </c>
    </row>
    <row r="499" spans="1:21" x14ac:dyDescent="0.35">
      <c r="A499" s="5" t="s">
        <v>42</v>
      </c>
      <c r="B499" s="5" t="s">
        <v>414</v>
      </c>
      <c r="C499" t="s">
        <v>39</v>
      </c>
      <c r="D499" t="s">
        <v>712</v>
      </c>
      <c r="E499" t="s">
        <v>23</v>
      </c>
      <c r="F499" t="s">
        <v>66</v>
      </c>
      <c r="G499" s="3">
        <v>40551</v>
      </c>
      <c r="H499">
        <v>221530139</v>
      </c>
      <c r="I499" s="3">
        <v>40569</v>
      </c>
      <c r="J499">
        <v>4546</v>
      </c>
      <c r="K499">
        <v>9.33</v>
      </c>
      <c r="L499">
        <v>6.92</v>
      </c>
      <c r="M499">
        <f t="shared" si="63"/>
        <v>42414.18</v>
      </c>
      <c r="N499">
        <f t="shared" si="64"/>
        <v>31458.32</v>
      </c>
      <c r="O499">
        <f t="shared" si="65"/>
        <v>10955.86</v>
      </c>
      <c r="P499" s="6">
        <f t="shared" si="66"/>
        <v>0.25830653804930331</v>
      </c>
      <c r="Q499">
        <f t="shared" si="67"/>
        <v>18</v>
      </c>
      <c r="R499">
        <f t="shared" si="68"/>
        <v>2011</v>
      </c>
      <c r="S499" t="str">
        <f t="shared" si="69"/>
        <v>January</v>
      </c>
      <c r="T499">
        <f t="shared" si="70"/>
        <v>1</v>
      </c>
      <c r="U499" t="str">
        <f t="shared" si="71"/>
        <v>Low Profit</v>
      </c>
    </row>
    <row r="500" spans="1:21" x14ac:dyDescent="0.35">
      <c r="A500" s="5" t="s">
        <v>50</v>
      </c>
      <c r="B500" s="5" t="s">
        <v>366</v>
      </c>
      <c r="C500" t="s">
        <v>69</v>
      </c>
      <c r="D500" t="s">
        <v>713</v>
      </c>
      <c r="E500" t="s">
        <v>23</v>
      </c>
      <c r="F500" t="s">
        <v>24</v>
      </c>
      <c r="G500" s="3">
        <v>42057</v>
      </c>
      <c r="H500">
        <v>363329732</v>
      </c>
      <c r="I500" s="3">
        <v>42057</v>
      </c>
      <c r="J500">
        <v>6197</v>
      </c>
      <c r="K500">
        <v>651.21</v>
      </c>
      <c r="L500">
        <v>524.96</v>
      </c>
      <c r="M500">
        <f t="shared" si="63"/>
        <v>4035548.37</v>
      </c>
      <c r="N500">
        <f t="shared" si="64"/>
        <v>3253177.12</v>
      </c>
      <c r="O500">
        <f t="shared" si="65"/>
        <v>782371.25</v>
      </c>
      <c r="P500" s="6">
        <f t="shared" si="66"/>
        <v>0.19386987300563566</v>
      </c>
      <c r="Q500">
        <f t="shared" si="67"/>
        <v>0</v>
      </c>
      <c r="R500">
        <f t="shared" si="68"/>
        <v>2015</v>
      </c>
      <c r="S500" t="str">
        <f t="shared" si="69"/>
        <v>February</v>
      </c>
      <c r="T500">
        <f t="shared" si="70"/>
        <v>2</v>
      </c>
      <c r="U500" t="str">
        <f t="shared" si="71"/>
        <v>High Profit</v>
      </c>
    </row>
    <row r="501" spans="1:21" x14ac:dyDescent="0.35">
      <c r="A501" s="5" t="s">
        <v>19</v>
      </c>
      <c r="B501" s="5" t="s">
        <v>221</v>
      </c>
      <c r="C501" t="s">
        <v>39</v>
      </c>
      <c r="D501" t="s">
        <v>714</v>
      </c>
      <c r="E501" t="s">
        <v>29</v>
      </c>
      <c r="F501" t="s">
        <v>32</v>
      </c>
      <c r="G501" s="3">
        <v>42870</v>
      </c>
      <c r="H501">
        <v>521787345</v>
      </c>
      <c r="I501" s="3">
        <v>42911</v>
      </c>
      <c r="J501">
        <v>7325</v>
      </c>
      <c r="K501">
        <v>9.33</v>
      </c>
      <c r="L501">
        <v>6.92</v>
      </c>
      <c r="M501">
        <f t="shared" si="63"/>
        <v>68342.25</v>
      </c>
      <c r="N501">
        <f t="shared" si="64"/>
        <v>50689</v>
      </c>
      <c r="O501">
        <f t="shared" si="65"/>
        <v>17653.25</v>
      </c>
      <c r="P501" s="6">
        <f t="shared" si="66"/>
        <v>0.25830653804930331</v>
      </c>
      <c r="Q501">
        <f t="shared" si="67"/>
        <v>41</v>
      </c>
      <c r="R501">
        <f t="shared" si="68"/>
        <v>2017</v>
      </c>
      <c r="S501" t="str">
        <f t="shared" si="69"/>
        <v>May</v>
      </c>
      <c r="T501">
        <f t="shared" si="70"/>
        <v>5</v>
      </c>
      <c r="U501" t="str">
        <f t="shared" si="71"/>
        <v>Low Profit</v>
      </c>
    </row>
    <row r="502" spans="1:21" x14ac:dyDescent="0.35">
      <c r="A502" s="5" t="s">
        <v>37</v>
      </c>
      <c r="B502" s="5" t="s">
        <v>161</v>
      </c>
      <c r="C502" t="s">
        <v>92</v>
      </c>
      <c r="D502" t="s">
        <v>715</v>
      </c>
      <c r="E502" t="s">
        <v>29</v>
      </c>
      <c r="F502" t="s">
        <v>66</v>
      </c>
      <c r="G502" s="3">
        <v>41104</v>
      </c>
      <c r="H502">
        <v>286014306</v>
      </c>
      <c r="I502" s="3">
        <v>41136</v>
      </c>
      <c r="J502">
        <v>6844</v>
      </c>
      <c r="K502">
        <v>421.89</v>
      </c>
      <c r="L502">
        <v>364.69</v>
      </c>
      <c r="M502">
        <f t="shared" si="63"/>
        <v>2887415.1599999997</v>
      </c>
      <c r="N502">
        <f t="shared" si="64"/>
        <v>2495938.36</v>
      </c>
      <c r="O502">
        <f t="shared" si="65"/>
        <v>391476.79999999981</v>
      </c>
      <c r="P502" s="6">
        <f t="shared" si="66"/>
        <v>0.13558036455000114</v>
      </c>
      <c r="Q502">
        <f t="shared" si="67"/>
        <v>32</v>
      </c>
      <c r="R502">
        <f t="shared" si="68"/>
        <v>2012</v>
      </c>
      <c r="S502" t="str">
        <f t="shared" si="69"/>
        <v>July</v>
      </c>
      <c r="T502">
        <f t="shared" si="70"/>
        <v>7</v>
      </c>
      <c r="U502" t="str">
        <f t="shared" si="71"/>
        <v>Medium Profit</v>
      </c>
    </row>
    <row r="503" spans="1:21" x14ac:dyDescent="0.35">
      <c r="A503" s="5" t="s">
        <v>19</v>
      </c>
      <c r="B503" s="5" t="s">
        <v>234</v>
      </c>
      <c r="C503" t="s">
        <v>35</v>
      </c>
      <c r="D503" t="s">
        <v>716</v>
      </c>
      <c r="E503" t="s">
        <v>23</v>
      </c>
      <c r="F503" t="s">
        <v>32</v>
      </c>
      <c r="G503" s="3">
        <v>42180</v>
      </c>
      <c r="H503">
        <v>215434443</v>
      </c>
      <c r="I503" s="3">
        <v>42185</v>
      </c>
      <c r="J503">
        <v>694</v>
      </c>
      <c r="K503">
        <v>205.7</v>
      </c>
      <c r="L503">
        <v>117.11</v>
      </c>
      <c r="M503">
        <f t="shared" si="63"/>
        <v>142755.79999999999</v>
      </c>
      <c r="N503">
        <f t="shared" si="64"/>
        <v>81274.34</v>
      </c>
      <c r="O503">
        <f t="shared" si="65"/>
        <v>61481.459999999992</v>
      </c>
      <c r="P503" s="6">
        <f t="shared" si="66"/>
        <v>0.43067574137092851</v>
      </c>
      <c r="Q503">
        <f t="shared" si="67"/>
        <v>5</v>
      </c>
      <c r="R503">
        <f t="shared" si="68"/>
        <v>2015</v>
      </c>
      <c r="S503" t="str">
        <f t="shared" si="69"/>
        <v>June</v>
      </c>
      <c r="T503">
        <f t="shared" si="70"/>
        <v>6</v>
      </c>
      <c r="U503" t="str">
        <f t="shared" si="71"/>
        <v>Low Profit</v>
      </c>
    </row>
    <row r="504" spans="1:21" x14ac:dyDescent="0.35">
      <c r="A504" s="5" t="s">
        <v>19</v>
      </c>
      <c r="B504" s="5" t="s">
        <v>717</v>
      </c>
      <c r="C504" t="s">
        <v>58</v>
      </c>
      <c r="D504" t="s">
        <v>718</v>
      </c>
      <c r="E504" t="s">
        <v>29</v>
      </c>
      <c r="F504" t="s">
        <v>66</v>
      </c>
      <c r="G504" s="3">
        <v>40842</v>
      </c>
      <c r="H504">
        <v>489784085</v>
      </c>
      <c r="I504" s="3">
        <v>40848</v>
      </c>
      <c r="J504">
        <v>6850</v>
      </c>
      <c r="K504">
        <v>152.58000000000001</v>
      </c>
      <c r="L504">
        <v>97.44</v>
      </c>
      <c r="M504">
        <f t="shared" si="63"/>
        <v>1045173.0000000001</v>
      </c>
      <c r="N504">
        <f t="shared" si="64"/>
        <v>667464</v>
      </c>
      <c r="O504">
        <f t="shared" si="65"/>
        <v>377709.00000000012</v>
      </c>
      <c r="P504" s="6">
        <f t="shared" si="66"/>
        <v>0.36138419189933157</v>
      </c>
      <c r="Q504">
        <f t="shared" si="67"/>
        <v>6</v>
      </c>
      <c r="R504">
        <f t="shared" si="68"/>
        <v>2011</v>
      </c>
      <c r="S504" t="str">
        <f t="shared" si="69"/>
        <v>October</v>
      </c>
      <c r="T504">
        <f t="shared" si="70"/>
        <v>10</v>
      </c>
      <c r="U504" t="str">
        <f t="shared" si="71"/>
        <v>Medium Profit</v>
      </c>
    </row>
    <row r="505" spans="1:21" x14ac:dyDescent="0.35">
      <c r="A505" s="5" t="s">
        <v>37</v>
      </c>
      <c r="B505" s="5" t="s">
        <v>186</v>
      </c>
      <c r="C505" t="s">
        <v>69</v>
      </c>
      <c r="D505" t="s">
        <v>719</v>
      </c>
      <c r="E505" t="s">
        <v>23</v>
      </c>
      <c r="F505" t="s">
        <v>32</v>
      </c>
      <c r="G505" s="3">
        <v>41906</v>
      </c>
      <c r="H505">
        <v>459112060</v>
      </c>
      <c r="I505" s="3">
        <v>41924</v>
      </c>
      <c r="J505">
        <v>316</v>
      </c>
      <c r="K505">
        <v>651.21</v>
      </c>
      <c r="L505">
        <v>524.96</v>
      </c>
      <c r="M505">
        <f t="shared" si="63"/>
        <v>205782.36000000002</v>
      </c>
      <c r="N505">
        <f t="shared" si="64"/>
        <v>165887.36000000002</v>
      </c>
      <c r="O505">
        <f t="shared" si="65"/>
        <v>39895</v>
      </c>
      <c r="P505" s="6">
        <f t="shared" si="66"/>
        <v>0.19386987300563566</v>
      </c>
      <c r="Q505">
        <f t="shared" si="67"/>
        <v>18</v>
      </c>
      <c r="R505">
        <f t="shared" si="68"/>
        <v>2014</v>
      </c>
      <c r="S505" t="str">
        <f t="shared" si="69"/>
        <v>September</v>
      </c>
      <c r="T505">
        <f t="shared" si="70"/>
        <v>9</v>
      </c>
      <c r="U505" t="str">
        <f t="shared" si="71"/>
        <v>Low Profit</v>
      </c>
    </row>
    <row r="506" spans="1:21" x14ac:dyDescent="0.35">
      <c r="A506" s="5" t="s">
        <v>33</v>
      </c>
      <c r="B506" s="5" t="s">
        <v>231</v>
      </c>
      <c r="C506" t="s">
        <v>69</v>
      </c>
      <c r="D506" t="s">
        <v>720</v>
      </c>
      <c r="E506" t="s">
        <v>29</v>
      </c>
      <c r="F506" t="s">
        <v>32</v>
      </c>
      <c r="G506" s="3">
        <v>42277</v>
      </c>
      <c r="H506">
        <v>893779695</v>
      </c>
      <c r="I506" s="3">
        <v>42315</v>
      </c>
      <c r="J506">
        <v>8128</v>
      </c>
      <c r="K506">
        <v>651.21</v>
      </c>
      <c r="L506">
        <v>524.96</v>
      </c>
      <c r="M506">
        <f t="shared" si="63"/>
        <v>5293034.88</v>
      </c>
      <c r="N506">
        <f t="shared" si="64"/>
        <v>4266874.8799999999</v>
      </c>
      <c r="O506">
        <f t="shared" si="65"/>
        <v>1026160</v>
      </c>
      <c r="P506" s="6">
        <f t="shared" si="66"/>
        <v>0.19386987300563566</v>
      </c>
      <c r="Q506">
        <f t="shared" si="67"/>
        <v>38</v>
      </c>
      <c r="R506">
        <f t="shared" si="68"/>
        <v>2015</v>
      </c>
      <c r="S506" t="str">
        <f t="shared" si="69"/>
        <v>September</v>
      </c>
      <c r="T506">
        <f t="shared" si="70"/>
        <v>9</v>
      </c>
      <c r="U506" t="str">
        <f t="shared" si="71"/>
        <v>High Profit</v>
      </c>
    </row>
    <row r="507" spans="1:21" x14ac:dyDescent="0.35">
      <c r="A507" s="5" t="s">
        <v>42</v>
      </c>
      <c r="B507" s="5" t="s">
        <v>361</v>
      </c>
      <c r="C507" t="s">
        <v>92</v>
      </c>
      <c r="D507" t="s">
        <v>721</v>
      </c>
      <c r="E507" t="s">
        <v>23</v>
      </c>
      <c r="F507" t="s">
        <v>24</v>
      </c>
      <c r="G507" s="3">
        <v>40633</v>
      </c>
      <c r="H507">
        <v>834460818</v>
      </c>
      <c r="I507" s="3">
        <v>40633</v>
      </c>
      <c r="J507">
        <v>4355</v>
      </c>
      <c r="K507">
        <v>421.89</v>
      </c>
      <c r="L507">
        <v>364.69</v>
      </c>
      <c r="M507">
        <f t="shared" si="63"/>
        <v>1837330.95</v>
      </c>
      <c r="N507">
        <f t="shared" si="64"/>
        <v>1588224.95</v>
      </c>
      <c r="O507">
        <f t="shared" si="65"/>
        <v>249106</v>
      </c>
      <c r="P507" s="6">
        <f t="shared" si="66"/>
        <v>0.13558036455000119</v>
      </c>
      <c r="Q507">
        <f t="shared" si="67"/>
        <v>0</v>
      </c>
      <c r="R507">
        <f t="shared" si="68"/>
        <v>2011</v>
      </c>
      <c r="S507" t="str">
        <f t="shared" si="69"/>
        <v>March</v>
      </c>
      <c r="T507">
        <f t="shared" si="70"/>
        <v>3</v>
      </c>
      <c r="U507" t="str">
        <f t="shared" si="71"/>
        <v>Medium Profit</v>
      </c>
    </row>
    <row r="508" spans="1:21" x14ac:dyDescent="0.35">
      <c r="A508" s="5" t="s">
        <v>37</v>
      </c>
      <c r="B508" s="5" t="s">
        <v>164</v>
      </c>
      <c r="C508" t="s">
        <v>72</v>
      </c>
      <c r="D508" t="s">
        <v>722</v>
      </c>
      <c r="E508" t="s">
        <v>29</v>
      </c>
      <c r="F508" t="s">
        <v>32</v>
      </c>
      <c r="G508" s="3">
        <v>41572</v>
      </c>
      <c r="H508">
        <v>742141759</v>
      </c>
      <c r="I508" s="3">
        <v>41575</v>
      </c>
      <c r="J508">
        <v>5093</v>
      </c>
      <c r="K508">
        <v>47.45</v>
      </c>
      <c r="L508">
        <v>31.79</v>
      </c>
      <c r="M508">
        <f t="shared" si="63"/>
        <v>241662.85</v>
      </c>
      <c r="N508">
        <f t="shared" si="64"/>
        <v>161906.47</v>
      </c>
      <c r="O508">
        <f t="shared" si="65"/>
        <v>79756.38</v>
      </c>
      <c r="P508" s="6">
        <f t="shared" si="66"/>
        <v>0.33003161222339306</v>
      </c>
      <c r="Q508">
        <f t="shared" si="67"/>
        <v>3</v>
      </c>
      <c r="R508">
        <f t="shared" si="68"/>
        <v>2013</v>
      </c>
      <c r="S508" t="str">
        <f t="shared" si="69"/>
        <v>October</v>
      </c>
      <c r="T508">
        <f t="shared" si="70"/>
        <v>10</v>
      </c>
      <c r="U508" t="str">
        <f t="shared" si="71"/>
        <v>Low Profit</v>
      </c>
    </row>
    <row r="509" spans="1:21" x14ac:dyDescent="0.35">
      <c r="A509" s="5" t="s">
        <v>42</v>
      </c>
      <c r="B509" s="5" t="s">
        <v>312</v>
      </c>
      <c r="C509" t="s">
        <v>27</v>
      </c>
      <c r="D509" t="s">
        <v>723</v>
      </c>
      <c r="E509" t="s">
        <v>23</v>
      </c>
      <c r="F509" t="s">
        <v>24</v>
      </c>
      <c r="G509" s="3">
        <v>40402</v>
      </c>
      <c r="H509">
        <v>248121345</v>
      </c>
      <c r="I509" s="3">
        <v>40435</v>
      </c>
      <c r="J509">
        <v>3475</v>
      </c>
      <c r="K509">
        <v>154.06</v>
      </c>
      <c r="L509">
        <v>90.93</v>
      </c>
      <c r="M509">
        <f t="shared" si="63"/>
        <v>535358.5</v>
      </c>
      <c r="N509">
        <f t="shared" si="64"/>
        <v>315981.75</v>
      </c>
      <c r="O509">
        <f t="shared" si="65"/>
        <v>219376.75</v>
      </c>
      <c r="P509" s="6">
        <f t="shared" si="66"/>
        <v>0.40977541217707386</v>
      </c>
      <c r="Q509">
        <f t="shared" si="67"/>
        <v>33</v>
      </c>
      <c r="R509">
        <f t="shared" si="68"/>
        <v>2010</v>
      </c>
      <c r="S509" t="str">
        <f t="shared" si="69"/>
        <v>August</v>
      </c>
      <c r="T509">
        <f t="shared" si="70"/>
        <v>8</v>
      </c>
      <c r="U509" t="str">
        <f t="shared" si="71"/>
        <v>Medium Profit</v>
      </c>
    </row>
    <row r="510" spans="1:21" x14ac:dyDescent="0.35">
      <c r="A510" s="5" t="s">
        <v>42</v>
      </c>
      <c r="B510" s="5" t="s">
        <v>586</v>
      </c>
      <c r="C510" t="s">
        <v>48</v>
      </c>
      <c r="D510" t="s">
        <v>724</v>
      </c>
      <c r="E510" t="s">
        <v>23</v>
      </c>
      <c r="F510" t="s">
        <v>24</v>
      </c>
      <c r="G510" s="3">
        <v>41116</v>
      </c>
      <c r="H510">
        <v>404010903</v>
      </c>
      <c r="I510" s="3">
        <v>41156</v>
      </c>
      <c r="J510">
        <v>4659</v>
      </c>
      <c r="K510">
        <v>109.28</v>
      </c>
      <c r="L510">
        <v>35.840000000000003</v>
      </c>
      <c r="M510">
        <f t="shared" si="63"/>
        <v>509135.52</v>
      </c>
      <c r="N510">
        <f t="shared" si="64"/>
        <v>166978.56000000003</v>
      </c>
      <c r="O510">
        <f t="shared" si="65"/>
        <v>342156.95999999996</v>
      </c>
      <c r="P510" s="6">
        <f t="shared" si="66"/>
        <v>0.67203513909224</v>
      </c>
      <c r="Q510">
        <f t="shared" si="67"/>
        <v>40</v>
      </c>
      <c r="R510">
        <f t="shared" si="68"/>
        <v>2012</v>
      </c>
      <c r="S510" t="str">
        <f t="shared" si="69"/>
        <v>July</v>
      </c>
      <c r="T510">
        <f t="shared" si="70"/>
        <v>7</v>
      </c>
      <c r="U510" t="str">
        <f t="shared" si="71"/>
        <v>Medium Profit</v>
      </c>
    </row>
    <row r="511" spans="1:21" x14ac:dyDescent="0.35">
      <c r="A511" s="5" t="s">
        <v>53</v>
      </c>
      <c r="B511" s="5" t="s">
        <v>212</v>
      </c>
      <c r="C511" t="s">
        <v>60</v>
      </c>
      <c r="D511" t="s">
        <v>725</v>
      </c>
      <c r="E511" t="s">
        <v>29</v>
      </c>
      <c r="F511" t="s">
        <v>66</v>
      </c>
      <c r="G511" s="3">
        <v>41182</v>
      </c>
      <c r="H511">
        <v>531734263</v>
      </c>
      <c r="I511" s="3">
        <v>41194</v>
      </c>
      <c r="J511">
        <v>840</v>
      </c>
      <c r="K511">
        <v>668.27</v>
      </c>
      <c r="L511">
        <v>502.54</v>
      </c>
      <c r="M511">
        <f t="shared" si="63"/>
        <v>561346.79999999993</v>
      </c>
      <c r="N511">
        <f t="shared" si="64"/>
        <v>422133.60000000003</v>
      </c>
      <c r="O511">
        <f t="shared" si="65"/>
        <v>139213.1999999999</v>
      </c>
      <c r="P511" s="6">
        <f t="shared" si="66"/>
        <v>0.24799856345489082</v>
      </c>
      <c r="Q511">
        <f t="shared" si="67"/>
        <v>12</v>
      </c>
      <c r="R511">
        <f t="shared" si="68"/>
        <v>2012</v>
      </c>
      <c r="S511" t="str">
        <f t="shared" si="69"/>
        <v>September</v>
      </c>
      <c r="T511">
        <f t="shared" si="70"/>
        <v>9</v>
      </c>
      <c r="U511" t="str">
        <f t="shared" si="71"/>
        <v>Medium Profit</v>
      </c>
    </row>
    <row r="512" spans="1:21" x14ac:dyDescent="0.35">
      <c r="A512" s="5" t="s">
        <v>37</v>
      </c>
      <c r="B512" s="5" t="s">
        <v>178</v>
      </c>
      <c r="C512" t="s">
        <v>30</v>
      </c>
      <c r="D512" t="s">
        <v>726</v>
      </c>
      <c r="E512" t="s">
        <v>29</v>
      </c>
      <c r="F512" t="s">
        <v>32</v>
      </c>
      <c r="G512" s="3">
        <v>41222</v>
      </c>
      <c r="H512">
        <v>473527753</v>
      </c>
      <c r="I512" s="3">
        <v>41272</v>
      </c>
      <c r="J512">
        <v>6240</v>
      </c>
      <c r="K512">
        <v>255.28</v>
      </c>
      <c r="L512">
        <v>159.41999999999999</v>
      </c>
      <c r="M512">
        <f t="shared" si="63"/>
        <v>1592947.2</v>
      </c>
      <c r="N512">
        <f t="shared" si="64"/>
        <v>994780.79999999993</v>
      </c>
      <c r="O512">
        <f t="shared" si="65"/>
        <v>598166.4</v>
      </c>
      <c r="P512" s="6">
        <f t="shared" si="66"/>
        <v>0.37550924475086184</v>
      </c>
      <c r="Q512">
        <f t="shared" si="67"/>
        <v>50</v>
      </c>
      <c r="R512">
        <f t="shared" si="68"/>
        <v>2012</v>
      </c>
      <c r="S512" t="str">
        <f t="shared" si="69"/>
        <v>November</v>
      </c>
      <c r="T512">
        <f t="shared" si="70"/>
        <v>11</v>
      </c>
      <c r="U512" t="str">
        <f t="shared" si="71"/>
        <v>High Profit</v>
      </c>
    </row>
    <row r="513" spans="1:21" x14ac:dyDescent="0.35">
      <c r="A513" s="5" t="s">
        <v>42</v>
      </c>
      <c r="B513" s="5" t="s">
        <v>223</v>
      </c>
      <c r="C513" t="s">
        <v>35</v>
      </c>
      <c r="D513" t="s">
        <v>727</v>
      </c>
      <c r="E513" t="s">
        <v>23</v>
      </c>
      <c r="F513" t="s">
        <v>24</v>
      </c>
      <c r="G513" s="3">
        <v>40866</v>
      </c>
      <c r="H513">
        <v>141940200</v>
      </c>
      <c r="I513" s="3">
        <v>40910</v>
      </c>
      <c r="J513">
        <v>2114</v>
      </c>
      <c r="K513">
        <v>205.7</v>
      </c>
      <c r="L513">
        <v>117.11</v>
      </c>
      <c r="M513">
        <f t="shared" si="63"/>
        <v>434849.8</v>
      </c>
      <c r="N513">
        <f t="shared" si="64"/>
        <v>247570.54</v>
      </c>
      <c r="O513">
        <f t="shared" si="65"/>
        <v>187279.25999999998</v>
      </c>
      <c r="P513" s="6">
        <f t="shared" si="66"/>
        <v>0.43067574137092851</v>
      </c>
      <c r="Q513">
        <f t="shared" si="67"/>
        <v>44</v>
      </c>
      <c r="R513">
        <f t="shared" si="68"/>
        <v>2011</v>
      </c>
      <c r="S513" t="str">
        <f t="shared" si="69"/>
        <v>November</v>
      </c>
      <c r="T513">
        <f t="shared" si="70"/>
        <v>11</v>
      </c>
      <c r="U513" t="str">
        <f t="shared" si="71"/>
        <v>Medium Profit</v>
      </c>
    </row>
    <row r="514" spans="1:21" x14ac:dyDescent="0.35">
      <c r="A514" s="5" t="s">
        <v>42</v>
      </c>
      <c r="B514" s="5" t="s">
        <v>273</v>
      </c>
      <c r="C514" t="s">
        <v>60</v>
      </c>
      <c r="D514" t="s">
        <v>728</v>
      </c>
      <c r="E514" t="s">
        <v>23</v>
      </c>
      <c r="F514" t="s">
        <v>24</v>
      </c>
      <c r="G514" s="3">
        <v>42895</v>
      </c>
      <c r="H514">
        <v>869832932</v>
      </c>
      <c r="I514" s="3">
        <v>42941</v>
      </c>
      <c r="J514">
        <v>1749</v>
      </c>
      <c r="K514">
        <v>668.27</v>
      </c>
      <c r="L514">
        <v>502.54</v>
      </c>
      <c r="M514">
        <f t="shared" si="63"/>
        <v>1168804.23</v>
      </c>
      <c r="N514">
        <f t="shared" si="64"/>
        <v>878942.46000000008</v>
      </c>
      <c r="O514">
        <f t="shared" si="65"/>
        <v>289861.7699999999</v>
      </c>
      <c r="P514" s="6">
        <f t="shared" si="66"/>
        <v>0.24799856345489091</v>
      </c>
      <c r="Q514">
        <f t="shared" si="67"/>
        <v>46</v>
      </c>
      <c r="R514">
        <f t="shared" si="68"/>
        <v>2017</v>
      </c>
      <c r="S514" t="str">
        <f t="shared" si="69"/>
        <v>June</v>
      </c>
      <c r="T514">
        <f t="shared" si="70"/>
        <v>6</v>
      </c>
      <c r="U514" t="str">
        <f t="shared" si="71"/>
        <v>Medium Profit</v>
      </c>
    </row>
    <row r="515" spans="1:21" x14ac:dyDescent="0.35">
      <c r="A515" s="5" t="s">
        <v>37</v>
      </c>
      <c r="B515" s="5" t="s">
        <v>186</v>
      </c>
      <c r="C515" t="s">
        <v>58</v>
      </c>
      <c r="D515" t="s">
        <v>729</v>
      </c>
      <c r="E515" t="s">
        <v>29</v>
      </c>
      <c r="F515" t="s">
        <v>41</v>
      </c>
      <c r="G515" s="3">
        <v>40803</v>
      </c>
      <c r="H515">
        <v>460379779</v>
      </c>
      <c r="I515" s="3">
        <v>40851</v>
      </c>
      <c r="J515">
        <v>5462</v>
      </c>
      <c r="K515">
        <v>152.58000000000001</v>
      </c>
      <c r="L515">
        <v>97.44</v>
      </c>
      <c r="M515">
        <f t="shared" ref="M515:M578" si="72">J515*K515</f>
        <v>833391.96000000008</v>
      </c>
      <c r="N515">
        <f t="shared" ref="N515:N578" si="73">J515*L515</f>
        <v>532217.28</v>
      </c>
      <c r="O515">
        <f t="shared" ref="O515:O578" si="74">M515-N515</f>
        <v>301174.68000000005</v>
      </c>
      <c r="P515" s="6">
        <f t="shared" ref="P515:P578" si="75">O515/M515</f>
        <v>0.36138419189933152</v>
      </c>
      <c r="Q515">
        <f t="shared" ref="Q515:Q578" si="76">I515-G515</f>
        <v>48</v>
      </c>
      <c r="R515">
        <f t="shared" ref="R515:R578" si="77">YEAR(G515)</f>
        <v>2011</v>
      </c>
      <c r="S515" t="str">
        <f t="shared" ref="S515:S578" si="78">TEXT(G515,"mmmm")</f>
        <v>September</v>
      </c>
      <c r="T515">
        <f t="shared" ref="T515:T578" si="79">MONTH(G515)</f>
        <v>9</v>
      </c>
      <c r="U515" t="str">
        <f t="shared" ref="U515:U578" si="80">IF(O515&gt;=500000,"High Profit",
IF(O515&gt;=100000,"Medium Profit","Low Profit"))</f>
        <v>Medium Profit</v>
      </c>
    </row>
    <row r="516" spans="1:21" x14ac:dyDescent="0.35">
      <c r="A516" s="5" t="s">
        <v>37</v>
      </c>
      <c r="B516" s="5" t="s">
        <v>395</v>
      </c>
      <c r="C516" t="s">
        <v>27</v>
      </c>
      <c r="D516" t="s">
        <v>730</v>
      </c>
      <c r="E516" t="s">
        <v>29</v>
      </c>
      <c r="F516" t="s">
        <v>32</v>
      </c>
      <c r="G516" s="3">
        <v>42300</v>
      </c>
      <c r="H516">
        <v>837067067</v>
      </c>
      <c r="I516" s="3">
        <v>42303</v>
      </c>
      <c r="J516">
        <v>5602</v>
      </c>
      <c r="K516">
        <v>154.06</v>
      </c>
      <c r="L516">
        <v>90.93</v>
      </c>
      <c r="M516">
        <f t="shared" si="72"/>
        <v>863044.12</v>
      </c>
      <c r="N516">
        <f t="shared" si="73"/>
        <v>509389.86000000004</v>
      </c>
      <c r="O516">
        <f t="shared" si="74"/>
        <v>353654.25999999995</v>
      </c>
      <c r="P516" s="6">
        <f t="shared" si="75"/>
        <v>0.40977541217707381</v>
      </c>
      <c r="Q516">
        <f t="shared" si="76"/>
        <v>3</v>
      </c>
      <c r="R516">
        <f t="shared" si="77"/>
        <v>2015</v>
      </c>
      <c r="S516" t="str">
        <f t="shared" si="78"/>
        <v>October</v>
      </c>
      <c r="T516">
        <f t="shared" si="79"/>
        <v>10</v>
      </c>
      <c r="U516" t="str">
        <f t="shared" si="80"/>
        <v>Medium Profit</v>
      </c>
    </row>
    <row r="517" spans="1:21" x14ac:dyDescent="0.35">
      <c r="A517" s="5" t="s">
        <v>33</v>
      </c>
      <c r="B517" s="5" t="s">
        <v>645</v>
      </c>
      <c r="C517" t="s">
        <v>72</v>
      </c>
      <c r="D517" t="s">
        <v>731</v>
      </c>
      <c r="E517" t="s">
        <v>29</v>
      </c>
      <c r="F517" t="s">
        <v>32</v>
      </c>
      <c r="G517" s="3">
        <v>40271</v>
      </c>
      <c r="H517">
        <v>393693625</v>
      </c>
      <c r="I517" s="3">
        <v>40277</v>
      </c>
      <c r="J517">
        <v>1547</v>
      </c>
      <c r="K517">
        <v>47.45</v>
      </c>
      <c r="L517">
        <v>31.79</v>
      </c>
      <c r="M517">
        <f t="shared" si="72"/>
        <v>73405.150000000009</v>
      </c>
      <c r="N517">
        <f t="shared" si="73"/>
        <v>49179.13</v>
      </c>
      <c r="O517">
        <f t="shared" si="74"/>
        <v>24226.020000000011</v>
      </c>
      <c r="P517" s="6">
        <f t="shared" si="75"/>
        <v>0.33003161222339317</v>
      </c>
      <c r="Q517">
        <f t="shared" si="76"/>
        <v>6</v>
      </c>
      <c r="R517">
        <f t="shared" si="77"/>
        <v>2010</v>
      </c>
      <c r="S517" t="str">
        <f t="shared" si="78"/>
        <v>April</v>
      </c>
      <c r="T517">
        <f t="shared" si="79"/>
        <v>4</v>
      </c>
      <c r="U517" t="str">
        <f t="shared" si="80"/>
        <v>Low Profit</v>
      </c>
    </row>
    <row r="518" spans="1:21" x14ac:dyDescent="0.35">
      <c r="A518" s="5" t="s">
        <v>42</v>
      </c>
      <c r="B518" s="5" t="s">
        <v>363</v>
      </c>
      <c r="C518" t="s">
        <v>27</v>
      </c>
      <c r="D518" t="s">
        <v>732</v>
      </c>
      <c r="E518" t="s">
        <v>23</v>
      </c>
      <c r="F518" t="s">
        <v>66</v>
      </c>
      <c r="G518" s="3">
        <v>41823</v>
      </c>
      <c r="H518">
        <v>744370782</v>
      </c>
      <c r="I518" s="3">
        <v>41834</v>
      </c>
      <c r="J518">
        <v>4711</v>
      </c>
      <c r="K518">
        <v>154.06</v>
      </c>
      <c r="L518">
        <v>90.93</v>
      </c>
      <c r="M518">
        <f t="shared" si="72"/>
        <v>725776.66</v>
      </c>
      <c r="N518">
        <f t="shared" si="73"/>
        <v>428371.23000000004</v>
      </c>
      <c r="O518">
        <f t="shared" si="74"/>
        <v>297405.43</v>
      </c>
      <c r="P518" s="6">
        <f t="shared" si="75"/>
        <v>0.40977541217707386</v>
      </c>
      <c r="Q518">
        <f t="shared" si="76"/>
        <v>11</v>
      </c>
      <c r="R518">
        <f t="shared" si="77"/>
        <v>2014</v>
      </c>
      <c r="S518" t="str">
        <f t="shared" si="78"/>
        <v>July</v>
      </c>
      <c r="T518">
        <f t="shared" si="79"/>
        <v>7</v>
      </c>
      <c r="U518" t="str">
        <f t="shared" si="80"/>
        <v>Medium Profit</v>
      </c>
    </row>
    <row r="519" spans="1:21" x14ac:dyDescent="0.35">
      <c r="A519" s="5" t="s">
        <v>33</v>
      </c>
      <c r="B519" s="5" t="s">
        <v>141</v>
      </c>
      <c r="C519" t="s">
        <v>21</v>
      </c>
      <c r="D519" t="s">
        <v>733</v>
      </c>
      <c r="E519" t="s">
        <v>23</v>
      </c>
      <c r="F519" t="s">
        <v>24</v>
      </c>
      <c r="G519" s="3">
        <v>42003</v>
      </c>
      <c r="H519">
        <v>873522365</v>
      </c>
      <c r="I519" s="3">
        <v>42017</v>
      </c>
      <c r="J519">
        <v>3534</v>
      </c>
      <c r="K519">
        <v>437.2</v>
      </c>
      <c r="L519">
        <v>263.33</v>
      </c>
      <c r="M519">
        <f t="shared" si="72"/>
        <v>1545064.8</v>
      </c>
      <c r="N519">
        <f t="shared" si="73"/>
        <v>930608.22</v>
      </c>
      <c r="O519">
        <f t="shared" si="74"/>
        <v>614456.58000000007</v>
      </c>
      <c r="P519" s="6">
        <f t="shared" si="75"/>
        <v>0.3976898444647759</v>
      </c>
      <c r="Q519">
        <f t="shared" si="76"/>
        <v>14</v>
      </c>
      <c r="R519">
        <f t="shared" si="77"/>
        <v>2014</v>
      </c>
      <c r="S519" t="str">
        <f t="shared" si="78"/>
        <v>December</v>
      </c>
      <c r="T519">
        <f t="shared" si="79"/>
        <v>12</v>
      </c>
      <c r="U519" t="str">
        <f t="shared" si="80"/>
        <v>High Profit</v>
      </c>
    </row>
    <row r="520" spans="1:21" x14ac:dyDescent="0.35">
      <c r="A520" s="5" t="s">
        <v>37</v>
      </c>
      <c r="B520" s="5" t="s">
        <v>186</v>
      </c>
      <c r="C520" t="s">
        <v>72</v>
      </c>
      <c r="D520" t="s">
        <v>734</v>
      </c>
      <c r="E520" t="s">
        <v>29</v>
      </c>
      <c r="F520" t="s">
        <v>66</v>
      </c>
      <c r="G520" s="3">
        <v>41778</v>
      </c>
      <c r="H520">
        <v>285884702</v>
      </c>
      <c r="I520" s="3">
        <v>41800</v>
      </c>
      <c r="J520">
        <v>8491</v>
      </c>
      <c r="K520">
        <v>47.45</v>
      </c>
      <c r="L520">
        <v>31.79</v>
      </c>
      <c r="M520">
        <f t="shared" si="72"/>
        <v>402897.95</v>
      </c>
      <c r="N520">
        <f t="shared" si="73"/>
        <v>269928.89</v>
      </c>
      <c r="O520">
        <f t="shared" si="74"/>
        <v>132969.06</v>
      </c>
      <c r="P520" s="6">
        <f t="shared" si="75"/>
        <v>0.33003161222339306</v>
      </c>
      <c r="Q520">
        <f t="shared" si="76"/>
        <v>22</v>
      </c>
      <c r="R520">
        <f t="shared" si="77"/>
        <v>2014</v>
      </c>
      <c r="S520" t="str">
        <f t="shared" si="78"/>
        <v>May</v>
      </c>
      <c r="T520">
        <f t="shared" si="79"/>
        <v>5</v>
      </c>
      <c r="U520" t="str">
        <f t="shared" si="80"/>
        <v>Medium Profit</v>
      </c>
    </row>
    <row r="521" spans="1:21" x14ac:dyDescent="0.35">
      <c r="A521" s="5" t="s">
        <v>53</v>
      </c>
      <c r="B521" s="5" t="s">
        <v>131</v>
      </c>
      <c r="C521" t="s">
        <v>21</v>
      </c>
      <c r="D521" t="s">
        <v>735</v>
      </c>
      <c r="E521" t="s">
        <v>29</v>
      </c>
      <c r="F521" t="s">
        <v>41</v>
      </c>
      <c r="G521" s="3">
        <v>41125</v>
      </c>
      <c r="H521">
        <v>356506621</v>
      </c>
      <c r="I521" s="3">
        <v>41155</v>
      </c>
      <c r="J521">
        <v>7086</v>
      </c>
      <c r="K521">
        <v>437.2</v>
      </c>
      <c r="L521">
        <v>263.33</v>
      </c>
      <c r="M521">
        <f t="shared" si="72"/>
        <v>3097999.1999999997</v>
      </c>
      <c r="N521">
        <f t="shared" si="73"/>
        <v>1865956.38</v>
      </c>
      <c r="O521">
        <f t="shared" si="74"/>
        <v>1232042.8199999998</v>
      </c>
      <c r="P521" s="6">
        <f t="shared" si="75"/>
        <v>0.39768984446477584</v>
      </c>
      <c r="Q521">
        <f t="shared" si="76"/>
        <v>30</v>
      </c>
      <c r="R521">
        <f t="shared" si="77"/>
        <v>2012</v>
      </c>
      <c r="S521" t="str">
        <f t="shared" si="78"/>
        <v>August</v>
      </c>
      <c r="T521">
        <f t="shared" si="79"/>
        <v>8</v>
      </c>
      <c r="U521" t="str">
        <f t="shared" si="80"/>
        <v>High Profit</v>
      </c>
    </row>
    <row r="522" spans="1:21" x14ac:dyDescent="0.35">
      <c r="A522" s="5" t="s">
        <v>53</v>
      </c>
      <c r="B522" s="5" t="s">
        <v>345</v>
      </c>
      <c r="C522" t="s">
        <v>30</v>
      </c>
      <c r="D522" t="s">
        <v>736</v>
      </c>
      <c r="E522" t="s">
        <v>23</v>
      </c>
      <c r="F522" t="s">
        <v>66</v>
      </c>
      <c r="G522" s="3">
        <v>40405</v>
      </c>
      <c r="H522">
        <v>280749452</v>
      </c>
      <c r="I522" s="3">
        <v>40452</v>
      </c>
      <c r="J522">
        <v>8856</v>
      </c>
      <c r="K522">
        <v>255.28</v>
      </c>
      <c r="L522">
        <v>159.41999999999999</v>
      </c>
      <c r="M522">
        <f t="shared" si="72"/>
        <v>2260759.6800000002</v>
      </c>
      <c r="N522">
        <f t="shared" si="73"/>
        <v>1411823.5199999998</v>
      </c>
      <c r="O522">
        <f t="shared" si="74"/>
        <v>848936.16000000038</v>
      </c>
      <c r="P522" s="6">
        <f t="shared" si="75"/>
        <v>0.37550924475086195</v>
      </c>
      <c r="Q522">
        <f t="shared" si="76"/>
        <v>47</v>
      </c>
      <c r="R522">
        <f t="shared" si="77"/>
        <v>2010</v>
      </c>
      <c r="S522" t="str">
        <f t="shared" si="78"/>
        <v>August</v>
      </c>
      <c r="T522">
        <f t="shared" si="79"/>
        <v>8</v>
      </c>
      <c r="U522" t="str">
        <f t="shared" si="80"/>
        <v>High Profit</v>
      </c>
    </row>
    <row r="523" spans="1:21" x14ac:dyDescent="0.35">
      <c r="A523" s="5" t="s">
        <v>19</v>
      </c>
      <c r="B523" s="5" t="s">
        <v>118</v>
      </c>
      <c r="C523" t="s">
        <v>30</v>
      </c>
      <c r="D523" t="s">
        <v>737</v>
      </c>
      <c r="E523" t="s">
        <v>29</v>
      </c>
      <c r="F523" t="s">
        <v>24</v>
      </c>
      <c r="G523" s="3">
        <v>41755</v>
      </c>
      <c r="H523">
        <v>224287021</v>
      </c>
      <c r="I523" s="3">
        <v>41776</v>
      </c>
      <c r="J523">
        <v>368</v>
      </c>
      <c r="K523">
        <v>255.28</v>
      </c>
      <c r="L523">
        <v>159.41999999999999</v>
      </c>
      <c r="M523">
        <f t="shared" si="72"/>
        <v>93943.039999999994</v>
      </c>
      <c r="N523">
        <f t="shared" si="73"/>
        <v>58666.559999999998</v>
      </c>
      <c r="O523">
        <f t="shared" si="74"/>
        <v>35276.479999999996</v>
      </c>
      <c r="P523" s="6">
        <f t="shared" si="75"/>
        <v>0.37550924475086178</v>
      </c>
      <c r="Q523">
        <f t="shared" si="76"/>
        <v>21</v>
      </c>
      <c r="R523">
        <f t="shared" si="77"/>
        <v>2014</v>
      </c>
      <c r="S523" t="str">
        <f t="shared" si="78"/>
        <v>April</v>
      </c>
      <c r="T523">
        <f t="shared" si="79"/>
        <v>4</v>
      </c>
      <c r="U523" t="str">
        <f t="shared" si="80"/>
        <v>Low Profit</v>
      </c>
    </row>
    <row r="524" spans="1:21" x14ac:dyDescent="0.35">
      <c r="A524" s="5" t="s">
        <v>42</v>
      </c>
      <c r="B524" s="5" t="s">
        <v>738</v>
      </c>
      <c r="C524" t="s">
        <v>39</v>
      </c>
      <c r="D524" t="s">
        <v>739</v>
      </c>
      <c r="E524" t="s">
        <v>23</v>
      </c>
      <c r="F524" t="s">
        <v>24</v>
      </c>
      <c r="G524" s="3">
        <v>42165</v>
      </c>
      <c r="H524">
        <v>873105657</v>
      </c>
      <c r="I524" s="3">
        <v>42178</v>
      </c>
      <c r="J524">
        <v>221</v>
      </c>
      <c r="K524">
        <v>9.33</v>
      </c>
      <c r="L524">
        <v>6.92</v>
      </c>
      <c r="M524">
        <f t="shared" si="72"/>
        <v>2061.9299999999998</v>
      </c>
      <c r="N524">
        <f t="shared" si="73"/>
        <v>1529.32</v>
      </c>
      <c r="O524">
        <f t="shared" si="74"/>
        <v>532.6099999999999</v>
      </c>
      <c r="P524" s="6">
        <f t="shared" si="75"/>
        <v>0.25830653804930331</v>
      </c>
      <c r="Q524">
        <f t="shared" si="76"/>
        <v>13</v>
      </c>
      <c r="R524">
        <f t="shared" si="77"/>
        <v>2015</v>
      </c>
      <c r="S524" t="str">
        <f t="shared" si="78"/>
        <v>June</v>
      </c>
      <c r="T524">
        <f t="shared" si="79"/>
        <v>6</v>
      </c>
      <c r="U524" t="str">
        <f t="shared" si="80"/>
        <v>Low Profit</v>
      </c>
    </row>
    <row r="525" spans="1:21" x14ac:dyDescent="0.35">
      <c r="A525" s="5" t="s">
        <v>42</v>
      </c>
      <c r="B525" s="5" t="s">
        <v>464</v>
      </c>
      <c r="C525" t="s">
        <v>58</v>
      </c>
      <c r="D525" t="s">
        <v>740</v>
      </c>
      <c r="E525" t="s">
        <v>23</v>
      </c>
      <c r="F525" t="s">
        <v>32</v>
      </c>
      <c r="G525" s="3">
        <v>40402</v>
      </c>
      <c r="H525">
        <v>283504188</v>
      </c>
      <c r="I525" s="3">
        <v>40423</v>
      </c>
      <c r="J525">
        <v>4044</v>
      </c>
      <c r="K525">
        <v>152.58000000000001</v>
      </c>
      <c r="L525">
        <v>97.44</v>
      </c>
      <c r="M525">
        <f t="shared" si="72"/>
        <v>617033.52</v>
      </c>
      <c r="N525">
        <f t="shared" si="73"/>
        <v>394047.36</v>
      </c>
      <c r="O525">
        <f t="shared" si="74"/>
        <v>222986.16000000003</v>
      </c>
      <c r="P525" s="6">
        <f t="shared" si="75"/>
        <v>0.36138419189933152</v>
      </c>
      <c r="Q525">
        <f t="shared" si="76"/>
        <v>21</v>
      </c>
      <c r="R525">
        <f t="shared" si="77"/>
        <v>2010</v>
      </c>
      <c r="S525" t="str">
        <f t="shared" si="78"/>
        <v>August</v>
      </c>
      <c r="T525">
        <f t="shared" si="79"/>
        <v>8</v>
      </c>
      <c r="U525" t="str">
        <f t="shared" si="80"/>
        <v>Medium Profit</v>
      </c>
    </row>
    <row r="526" spans="1:21" x14ac:dyDescent="0.35">
      <c r="A526" s="5" t="s">
        <v>19</v>
      </c>
      <c r="B526" s="5" t="s">
        <v>96</v>
      </c>
      <c r="C526" t="s">
        <v>72</v>
      </c>
      <c r="D526" t="s">
        <v>741</v>
      </c>
      <c r="E526" t="s">
        <v>23</v>
      </c>
      <c r="F526" t="s">
        <v>32</v>
      </c>
      <c r="G526" s="3">
        <v>41149</v>
      </c>
      <c r="H526">
        <v>632093942</v>
      </c>
      <c r="I526" s="3">
        <v>41157</v>
      </c>
      <c r="J526">
        <v>9499</v>
      </c>
      <c r="K526">
        <v>47.45</v>
      </c>
      <c r="L526">
        <v>31.79</v>
      </c>
      <c r="M526">
        <f t="shared" si="72"/>
        <v>450727.55000000005</v>
      </c>
      <c r="N526">
        <f t="shared" si="73"/>
        <v>301973.21000000002</v>
      </c>
      <c r="O526">
        <f t="shared" si="74"/>
        <v>148754.34000000003</v>
      </c>
      <c r="P526" s="6">
        <f t="shared" si="75"/>
        <v>0.33003161222339306</v>
      </c>
      <c r="Q526">
        <f t="shared" si="76"/>
        <v>8</v>
      </c>
      <c r="R526">
        <f t="shared" si="77"/>
        <v>2012</v>
      </c>
      <c r="S526" t="str">
        <f t="shared" si="78"/>
        <v>August</v>
      </c>
      <c r="T526">
        <f t="shared" si="79"/>
        <v>8</v>
      </c>
      <c r="U526" t="str">
        <f t="shared" si="80"/>
        <v>Medium Profit</v>
      </c>
    </row>
    <row r="527" spans="1:21" x14ac:dyDescent="0.35">
      <c r="A527" s="5" t="s">
        <v>37</v>
      </c>
      <c r="B527" s="5" t="s">
        <v>105</v>
      </c>
      <c r="C527" t="s">
        <v>92</v>
      </c>
      <c r="D527" t="s">
        <v>742</v>
      </c>
      <c r="E527" t="s">
        <v>23</v>
      </c>
      <c r="F527" t="s">
        <v>66</v>
      </c>
      <c r="G527" s="3">
        <v>42566</v>
      </c>
      <c r="H527">
        <v>565798747</v>
      </c>
      <c r="I527" s="3">
        <v>42591</v>
      </c>
      <c r="J527">
        <v>1277</v>
      </c>
      <c r="K527">
        <v>421.89</v>
      </c>
      <c r="L527">
        <v>364.69</v>
      </c>
      <c r="M527">
        <f t="shared" si="72"/>
        <v>538753.53</v>
      </c>
      <c r="N527">
        <f t="shared" si="73"/>
        <v>465709.13</v>
      </c>
      <c r="O527">
        <f t="shared" si="74"/>
        <v>73044.400000000023</v>
      </c>
      <c r="P527" s="6">
        <f t="shared" si="75"/>
        <v>0.13558036455000122</v>
      </c>
      <c r="Q527">
        <f t="shared" si="76"/>
        <v>25</v>
      </c>
      <c r="R527">
        <f t="shared" si="77"/>
        <v>2016</v>
      </c>
      <c r="S527" t="str">
        <f t="shared" si="78"/>
        <v>July</v>
      </c>
      <c r="T527">
        <f t="shared" si="79"/>
        <v>7</v>
      </c>
      <c r="U527" t="str">
        <f t="shared" si="80"/>
        <v>Low Profit</v>
      </c>
    </row>
    <row r="528" spans="1:21" x14ac:dyDescent="0.35">
      <c r="A528" s="5" t="s">
        <v>19</v>
      </c>
      <c r="B528" s="5" t="s">
        <v>221</v>
      </c>
      <c r="C528" t="s">
        <v>27</v>
      </c>
      <c r="D528" t="s">
        <v>743</v>
      </c>
      <c r="E528" t="s">
        <v>29</v>
      </c>
      <c r="F528" t="s">
        <v>24</v>
      </c>
      <c r="G528" s="3">
        <v>40435</v>
      </c>
      <c r="H528">
        <v>151854932</v>
      </c>
      <c r="I528" s="3">
        <v>40470</v>
      </c>
      <c r="J528">
        <v>6104</v>
      </c>
      <c r="K528">
        <v>154.06</v>
      </c>
      <c r="L528">
        <v>90.93</v>
      </c>
      <c r="M528">
        <f t="shared" si="72"/>
        <v>940382.24</v>
      </c>
      <c r="N528">
        <f t="shared" si="73"/>
        <v>555036.72000000009</v>
      </c>
      <c r="O528">
        <f t="shared" si="74"/>
        <v>385345.5199999999</v>
      </c>
      <c r="P528" s="6">
        <f t="shared" si="75"/>
        <v>0.40977541217707375</v>
      </c>
      <c r="Q528">
        <f t="shared" si="76"/>
        <v>35</v>
      </c>
      <c r="R528">
        <f t="shared" si="77"/>
        <v>2010</v>
      </c>
      <c r="S528" t="str">
        <f t="shared" si="78"/>
        <v>September</v>
      </c>
      <c r="T528">
        <f t="shared" si="79"/>
        <v>9</v>
      </c>
      <c r="U528" t="str">
        <f t="shared" si="80"/>
        <v>Medium Profit</v>
      </c>
    </row>
    <row r="529" spans="1:21" x14ac:dyDescent="0.35">
      <c r="A529" s="5" t="s">
        <v>33</v>
      </c>
      <c r="B529" s="5" t="s">
        <v>645</v>
      </c>
      <c r="C529" t="s">
        <v>27</v>
      </c>
      <c r="D529" t="s">
        <v>744</v>
      </c>
      <c r="E529" t="s">
        <v>29</v>
      </c>
      <c r="F529" t="s">
        <v>41</v>
      </c>
      <c r="G529" s="3">
        <v>40609</v>
      </c>
      <c r="H529">
        <v>427811324</v>
      </c>
      <c r="I529" s="3">
        <v>40649</v>
      </c>
      <c r="J529">
        <v>7733</v>
      </c>
      <c r="K529">
        <v>154.06</v>
      </c>
      <c r="L529">
        <v>90.93</v>
      </c>
      <c r="M529">
        <f t="shared" si="72"/>
        <v>1191345.98</v>
      </c>
      <c r="N529">
        <f t="shared" si="73"/>
        <v>703161.69000000006</v>
      </c>
      <c r="O529">
        <f t="shared" si="74"/>
        <v>488184.28999999992</v>
      </c>
      <c r="P529" s="6">
        <f t="shared" si="75"/>
        <v>0.40977541217707381</v>
      </c>
      <c r="Q529">
        <f t="shared" si="76"/>
        <v>40</v>
      </c>
      <c r="R529">
        <f t="shared" si="77"/>
        <v>2011</v>
      </c>
      <c r="S529" t="str">
        <f t="shared" si="78"/>
        <v>March</v>
      </c>
      <c r="T529">
        <f t="shared" si="79"/>
        <v>3</v>
      </c>
      <c r="U529" t="str">
        <f t="shared" si="80"/>
        <v>Medium Profit</v>
      </c>
    </row>
    <row r="530" spans="1:21" x14ac:dyDescent="0.35">
      <c r="A530" s="5" t="s">
        <v>37</v>
      </c>
      <c r="B530" s="5" t="s">
        <v>302</v>
      </c>
      <c r="C530" t="s">
        <v>39</v>
      </c>
      <c r="D530" t="s">
        <v>745</v>
      </c>
      <c r="E530" t="s">
        <v>29</v>
      </c>
      <c r="F530" t="s">
        <v>66</v>
      </c>
      <c r="G530" s="3">
        <v>41029</v>
      </c>
      <c r="H530">
        <v>251529252</v>
      </c>
      <c r="I530" s="3">
        <v>41034</v>
      </c>
      <c r="J530">
        <v>1950</v>
      </c>
      <c r="K530">
        <v>9.33</v>
      </c>
      <c r="L530">
        <v>6.92</v>
      </c>
      <c r="M530">
        <f t="shared" si="72"/>
        <v>18193.5</v>
      </c>
      <c r="N530">
        <f t="shared" si="73"/>
        <v>13494</v>
      </c>
      <c r="O530">
        <f t="shared" si="74"/>
        <v>4699.5</v>
      </c>
      <c r="P530" s="6">
        <f t="shared" si="75"/>
        <v>0.25830653804930331</v>
      </c>
      <c r="Q530">
        <f t="shared" si="76"/>
        <v>5</v>
      </c>
      <c r="R530">
        <f t="shared" si="77"/>
        <v>2012</v>
      </c>
      <c r="S530" t="str">
        <f t="shared" si="78"/>
        <v>April</v>
      </c>
      <c r="T530">
        <f t="shared" si="79"/>
        <v>4</v>
      </c>
      <c r="U530" t="str">
        <f t="shared" si="80"/>
        <v>Low Profit</v>
      </c>
    </row>
    <row r="531" spans="1:21" x14ac:dyDescent="0.35">
      <c r="A531" s="5" t="s">
        <v>53</v>
      </c>
      <c r="B531" s="5" t="s">
        <v>218</v>
      </c>
      <c r="C531" t="s">
        <v>58</v>
      </c>
      <c r="D531" t="s">
        <v>746</v>
      </c>
      <c r="E531" t="s">
        <v>23</v>
      </c>
      <c r="F531" t="s">
        <v>32</v>
      </c>
      <c r="G531" s="3">
        <v>41412</v>
      </c>
      <c r="H531">
        <v>351182544</v>
      </c>
      <c r="I531" s="3">
        <v>41447</v>
      </c>
      <c r="J531">
        <v>1574</v>
      </c>
      <c r="K531">
        <v>152.58000000000001</v>
      </c>
      <c r="L531">
        <v>97.44</v>
      </c>
      <c r="M531">
        <f t="shared" si="72"/>
        <v>240160.92</v>
      </c>
      <c r="N531">
        <f t="shared" si="73"/>
        <v>153370.56</v>
      </c>
      <c r="O531">
        <f t="shared" si="74"/>
        <v>86790.360000000015</v>
      </c>
      <c r="P531" s="6">
        <f t="shared" si="75"/>
        <v>0.36138419189933152</v>
      </c>
      <c r="Q531">
        <f t="shared" si="76"/>
        <v>35</v>
      </c>
      <c r="R531">
        <f t="shared" si="77"/>
        <v>2013</v>
      </c>
      <c r="S531" t="str">
        <f t="shared" si="78"/>
        <v>May</v>
      </c>
      <c r="T531">
        <f t="shared" si="79"/>
        <v>5</v>
      </c>
      <c r="U531" t="str">
        <f t="shared" si="80"/>
        <v>Low Profit</v>
      </c>
    </row>
    <row r="532" spans="1:21" x14ac:dyDescent="0.35">
      <c r="A532" s="5" t="s">
        <v>42</v>
      </c>
      <c r="B532" s="5" t="s">
        <v>68</v>
      </c>
      <c r="C532" t="s">
        <v>92</v>
      </c>
      <c r="D532" t="s">
        <v>747</v>
      </c>
      <c r="E532" t="s">
        <v>23</v>
      </c>
      <c r="F532" t="s">
        <v>41</v>
      </c>
      <c r="G532" s="3">
        <v>41861</v>
      </c>
      <c r="H532">
        <v>175257527</v>
      </c>
      <c r="I532" s="3">
        <v>41907</v>
      </c>
      <c r="J532">
        <v>1452</v>
      </c>
      <c r="K532">
        <v>421.89</v>
      </c>
      <c r="L532">
        <v>364.69</v>
      </c>
      <c r="M532">
        <f t="shared" si="72"/>
        <v>612584.28</v>
      </c>
      <c r="N532">
        <f t="shared" si="73"/>
        <v>529529.88</v>
      </c>
      <c r="O532">
        <f t="shared" si="74"/>
        <v>83054.400000000023</v>
      </c>
      <c r="P532" s="6">
        <f t="shared" si="75"/>
        <v>0.13558036455000122</v>
      </c>
      <c r="Q532">
        <f t="shared" si="76"/>
        <v>46</v>
      </c>
      <c r="R532">
        <f t="shared" si="77"/>
        <v>2014</v>
      </c>
      <c r="S532" t="str">
        <f t="shared" si="78"/>
        <v>August</v>
      </c>
      <c r="T532">
        <f t="shared" si="79"/>
        <v>8</v>
      </c>
      <c r="U532" t="str">
        <f t="shared" si="80"/>
        <v>Low Profit</v>
      </c>
    </row>
    <row r="533" spans="1:21" x14ac:dyDescent="0.35">
      <c r="A533" s="5" t="s">
        <v>33</v>
      </c>
      <c r="B533" s="5" t="s">
        <v>237</v>
      </c>
      <c r="C533" t="s">
        <v>58</v>
      </c>
      <c r="D533" t="s">
        <v>748</v>
      </c>
      <c r="E533" t="s">
        <v>29</v>
      </c>
      <c r="F533" t="s">
        <v>41</v>
      </c>
      <c r="G533" s="3">
        <v>41486</v>
      </c>
      <c r="H533">
        <v>142553031</v>
      </c>
      <c r="I533" s="3">
        <v>41528</v>
      </c>
      <c r="J533">
        <v>3465</v>
      </c>
      <c r="K533">
        <v>152.58000000000001</v>
      </c>
      <c r="L533">
        <v>97.44</v>
      </c>
      <c r="M533">
        <f t="shared" si="72"/>
        <v>528689.70000000007</v>
      </c>
      <c r="N533">
        <f t="shared" si="73"/>
        <v>337629.6</v>
      </c>
      <c r="O533">
        <f t="shared" si="74"/>
        <v>191060.10000000009</v>
      </c>
      <c r="P533" s="6">
        <f t="shared" si="75"/>
        <v>0.36138419189933163</v>
      </c>
      <c r="Q533">
        <f t="shared" si="76"/>
        <v>42</v>
      </c>
      <c r="R533">
        <f t="shared" si="77"/>
        <v>2013</v>
      </c>
      <c r="S533" t="str">
        <f t="shared" si="78"/>
        <v>July</v>
      </c>
      <c r="T533">
        <f t="shared" si="79"/>
        <v>7</v>
      </c>
      <c r="U533" t="str">
        <f t="shared" si="80"/>
        <v>Medium Profit</v>
      </c>
    </row>
    <row r="534" spans="1:21" x14ac:dyDescent="0.35">
      <c r="A534" s="5" t="s">
        <v>37</v>
      </c>
      <c r="B534" s="5" t="s">
        <v>76</v>
      </c>
      <c r="C534" t="s">
        <v>39</v>
      </c>
      <c r="D534" t="s">
        <v>749</v>
      </c>
      <c r="E534" t="s">
        <v>23</v>
      </c>
      <c r="F534" t="s">
        <v>41</v>
      </c>
      <c r="G534" s="3">
        <v>42553</v>
      </c>
      <c r="H534">
        <v>292180383</v>
      </c>
      <c r="I534" s="3">
        <v>42597</v>
      </c>
      <c r="J534">
        <v>1523</v>
      </c>
      <c r="K534">
        <v>9.33</v>
      </c>
      <c r="L534">
        <v>6.92</v>
      </c>
      <c r="M534">
        <f t="shared" si="72"/>
        <v>14209.59</v>
      </c>
      <c r="N534">
        <f t="shared" si="73"/>
        <v>10539.16</v>
      </c>
      <c r="O534">
        <f t="shared" si="74"/>
        <v>3670.4300000000003</v>
      </c>
      <c r="P534" s="6">
        <f t="shared" si="75"/>
        <v>0.25830653804930331</v>
      </c>
      <c r="Q534">
        <f t="shared" si="76"/>
        <v>44</v>
      </c>
      <c r="R534">
        <f t="shared" si="77"/>
        <v>2016</v>
      </c>
      <c r="S534" t="str">
        <f t="shared" si="78"/>
        <v>July</v>
      </c>
      <c r="T534">
        <f t="shared" si="79"/>
        <v>7</v>
      </c>
      <c r="U534" t="str">
        <f t="shared" si="80"/>
        <v>Low Profit</v>
      </c>
    </row>
    <row r="535" spans="1:21" x14ac:dyDescent="0.35">
      <c r="A535" s="5" t="s">
        <v>19</v>
      </c>
      <c r="B535" s="5" t="s">
        <v>560</v>
      </c>
      <c r="C535" t="s">
        <v>39</v>
      </c>
      <c r="D535" t="s">
        <v>750</v>
      </c>
      <c r="E535" t="s">
        <v>23</v>
      </c>
      <c r="F535" t="s">
        <v>66</v>
      </c>
      <c r="G535" s="3">
        <v>40799</v>
      </c>
      <c r="H535">
        <v>733563411</v>
      </c>
      <c r="I535" s="3">
        <v>40806</v>
      </c>
      <c r="J535">
        <v>6569</v>
      </c>
      <c r="K535">
        <v>9.33</v>
      </c>
      <c r="L535">
        <v>6.92</v>
      </c>
      <c r="M535">
        <f t="shared" si="72"/>
        <v>61288.770000000004</v>
      </c>
      <c r="N535">
        <f t="shared" si="73"/>
        <v>45457.479999999996</v>
      </c>
      <c r="O535">
        <f t="shared" si="74"/>
        <v>15831.290000000008</v>
      </c>
      <c r="P535" s="6">
        <f t="shared" si="75"/>
        <v>0.25830653804930342</v>
      </c>
      <c r="Q535">
        <f t="shared" si="76"/>
        <v>7</v>
      </c>
      <c r="R535">
        <f t="shared" si="77"/>
        <v>2011</v>
      </c>
      <c r="S535" t="str">
        <f t="shared" si="78"/>
        <v>September</v>
      </c>
      <c r="T535">
        <f t="shared" si="79"/>
        <v>9</v>
      </c>
      <c r="U535" t="str">
        <f t="shared" si="80"/>
        <v>Low Profit</v>
      </c>
    </row>
    <row r="536" spans="1:21" x14ac:dyDescent="0.35">
      <c r="A536" s="5" t="s">
        <v>42</v>
      </c>
      <c r="B536" s="5" t="s">
        <v>198</v>
      </c>
      <c r="C536" t="s">
        <v>72</v>
      </c>
      <c r="D536" t="s">
        <v>751</v>
      </c>
      <c r="E536" t="s">
        <v>29</v>
      </c>
      <c r="F536" t="s">
        <v>41</v>
      </c>
      <c r="G536" s="3">
        <v>40651</v>
      </c>
      <c r="H536">
        <v>296438443</v>
      </c>
      <c r="I536" s="3">
        <v>40652</v>
      </c>
      <c r="J536">
        <v>1578</v>
      </c>
      <c r="K536">
        <v>47.45</v>
      </c>
      <c r="L536">
        <v>31.79</v>
      </c>
      <c r="M536">
        <f t="shared" si="72"/>
        <v>74876.100000000006</v>
      </c>
      <c r="N536">
        <f t="shared" si="73"/>
        <v>50164.619999999995</v>
      </c>
      <c r="O536">
        <f t="shared" si="74"/>
        <v>24711.48000000001</v>
      </c>
      <c r="P536" s="6">
        <f t="shared" si="75"/>
        <v>0.33003161222339317</v>
      </c>
      <c r="Q536">
        <f t="shared" si="76"/>
        <v>1</v>
      </c>
      <c r="R536">
        <f t="shared" si="77"/>
        <v>2011</v>
      </c>
      <c r="S536" t="str">
        <f t="shared" si="78"/>
        <v>April</v>
      </c>
      <c r="T536">
        <f t="shared" si="79"/>
        <v>4</v>
      </c>
      <c r="U536" t="str">
        <f t="shared" si="80"/>
        <v>Low Profit</v>
      </c>
    </row>
    <row r="537" spans="1:21" x14ac:dyDescent="0.35">
      <c r="A537" s="5" t="s">
        <v>37</v>
      </c>
      <c r="B537" s="5" t="s">
        <v>260</v>
      </c>
      <c r="C537" t="s">
        <v>92</v>
      </c>
      <c r="D537" t="s">
        <v>752</v>
      </c>
      <c r="E537" t="s">
        <v>23</v>
      </c>
      <c r="F537" t="s">
        <v>32</v>
      </c>
      <c r="G537" s="3">
        <v>42775</v>
      </c>
      <c r="H537">
        <v>580854308</v>
      </c>
      <c r="I537" s="3">
        <v>42812</v>
      </c>
      <c r="J537">
        <v>6552</v>
      </c>
      <c r="K537">
        <v>421.89</v>
      </c>
      <c r="L537">
        <v>364.69</v>
      </c>
      <c r="M537">
        <f t="shared" si="72"/>
        <v>2764223.28</v>
      </c>
      <c r="N537">
        <f t="shared" si="73"/>
        <v>2389448.88</v>
      </c>
      <c r="O537">
        <f t="shared" si="74"/>
        <v>374774.39999999991</v>
      </c>
      <c r="P537" s="6">
        <f t="shared" si="75"/>
        <v>0.13558036455000116</v>
      </c>
      <c r="Q537">
        <f t="shared" si="76"/>
        <v>37</v>
      </c>
      <c r="R537">
        <f t="shared" si="77"/>
        <v>2017</v>
      </c>
      <c r="S537" t="str">
        <f t="shared" si="78"/>
        <v>February</v>
      </c>
      <c r="T537">
        <f t="shared" si="79"/>
        <v>2</v>
      </c>
      <c r="U537" t="str">
        <f t="shared" si="80"/>
        <v>Medium Profit</v>
      </c>
    </row>
    <row r="538" spans="1:21" x14ac:dyDescent="0.35">
      <c r="A538" s="5" t="s">
        <v>33</v>
      </c>
      <c r="B538" s="5" t="s">
        <v>34</v>
      </c>
      <c r="C538" t="s">
        <v>21</v>
      </c>
      <c r="D538" t="s">
        <v>753</v>
      </c>
      <c r="E538" t="s">
        <v>23</v>
      </c>
      <c r="F538" t="s">
        <v>41</v>
      </c>
      <c r="G538" s="3">
        <v>42694</v>
      </c>
      <c r="H538">
        <v>107172334</v>
      </c>
      <c r="I538" s="3">
        <v>42727</v>
      </c>
      <c r="J538">
        <v>3530</v>
      </c>
      <c r="K538">
        <v>437.2</v>
      </c>
      <c r="L538">
        <v>263.33</v>
      </c>
      <c r="M538">
        <f t="shared" si="72"/>
        <v>1543316</v>
      </c>
      <c r="N538">
        <f t="shared" si="73"/>
        <v>929554.89999999991</v>
      </c>
      <c r="O538">
        <f t="shared" si="74"/>
        <v>613761.10000000009</v>
      </c>
      <c r="P538" s="6">
        <f t="shared" si="75"/>
        <v>0.3976898444647759</v>
      </c>
      <c r="Q538">
        <f t="shared" si="76"/>
        <v>33</v>
      </c>
      <c r="R538">
        <f t="shared" si="77"/>
        <v>2016</v>
      </c>
      <c r="S538" t="str">
        <f t="shared" si="78"/>
        <v>November</v>
      </c>
      <c r="T538">
        <f t="shared" si="79"/>
        <v>11</v>
      </c>
      <c r="U538" t="str">
        <f t="shared" si="80"/>
        <v>High Profit</v>
      </c>
    </row>
    <row r="539" spans="1:21" x14ac:dyDescent="0.35">
      <c r="A539" s="5" t="s">
        <v>33</v>
      </c>
      <c r="B539" s="5" t="s">
        <v>657</v>
      </c>
      <c r="C539" t="s">
        <v>30</v>
      </c>
      <c r="D539" t="s">
        <v>754</v>
      </c>
      <c r="E539" t="s">
        <v>23</v>
      </c>
      <c r="F539" t="s">
        <v>41</v>
      </c>
      <c r="G539" s="3">
        <v>40467</v>
      </c>
      <c r="H539">
        <v>166066348</v>
      </c>
      <c r="I539" s="3">
        <v>40517</v>
      </c>
      <c r="J539">
        <v>1578</v>
      </c>
      <c r="K539">
        <v>255.28</v>
      </c>
      <c r="L539">
        <v>159.41999999999999</v>
      </c>
      <c r="M539">
        <f t="shared" si="72"/>
        <v>402831.84</v>
      </c>
      <c r="N539">
        <f t="shared" si="73"/>
        <v>251564.75999999998</v>
      </c>
      <c r="O539">
        <f t="shared" si="74"/>
        <v>151267.08000000005</v>
      </c>
      <c r="P539" s="6">
        <f t="shared" si="75"/>
        <v>0.37550924475086189</v>
      </c>
      <c r="Q539">
        <f t="shared" si="76"/>
        <v>50</v>
      </c>
      <c r="R539">
        <f t="shared" si="77"/>
        <v>2010</v>
      </c>
      <c r="S539" t="str">
        <f t="shared" si="78"/>
        <v>October</v>
      </c>
      <c r="T539">
        <f t="shared" si="79"/>
        <v>10</v>
      </c>
      <c r="U539" t="str">
        <f t="shared" si="80"/>
        <v>Medium Profit</v>
      </c>
    </row>
    <row r="540" spans="1:21" x14ac:dyDescent="0.35">
      <c r="A540" s="5" t="s">
        <v>50</v>
      </c>
      <c r="B540" s="5" t="s">
        <v>491</v>
      </c>
      <c r="C540" t="s">
        <v>58</v>
      </c>
      <c r="D540" t="s">
        <v>755</v>
      </c>
      <c r="E540" t="s">
        <v>23</v>
      </c>
      <c r="F540" t="s">
        <v>41</v>
      </c>
      <c r="G540" s="3">
        <v>42078</v>
      </c>
      <c r="H540">
        <v>768522679</v>
      </c>
      <c r="I540" s="3">
        <v>42090</v>
      </c>
      <c r="J540">
        <v>1794</v>
      </c>
      <c r="K540">
        <v>152.58000000000001</v>
      </c>
      <c r="L540">
        <v>97.44</v>
      </c>
      <c r="M540">
        <f t="shared" si="72"/>
        <v>273728.52</v>
      </c>
      <c r="N540">
        <f t="shared" si="73"/>
        <v>174807.36</v>
      </c>
      <c r="O540">
        <f t="shared" si="74"/>
        <v>98921.160000000033</v>
      </c>
      <c r="P540" s="6">
        <f t="shared" si="75"/>
        <v>0.36138419189933157</v>
      </c>
      <c r="Q540">
        <f t="shared" si="76"/>
        <v>12</v>
      </c>
      <c r="R540">
        <f t="shared" si="77"/>
        <v>2015</v>
      </c>
      <c r="S540" t="str">
        <f t="shared" si="78"/>
        <v>March</v>
      </c>
      <c r="T540">
        <f t="shared" si="79"/>
        <v>3</v>
      </c>
      <c r="U540" t="str">
        <f t="shared" si="80"/>
        <v>Low Profit</v>
      </c>
    </row>
    <row r="541" spans="1:21" x14ac:dyDescent="0.35">
      <c r="A541" s="5" t="s">
        <v>37</v>
      </c>
      <c r="B541" s="5" t="s">
        <v>330</v>
      </c>
      <c r="C541" t="s">
        <v>60</v>
      </c>
      <c r="D541" t="s">
        <v>756</v>
      </c>
      <c r="E541" t="s">
        <v>29</v>
      </c>
      <c r="F541" t="s">
        <v>24</v>
      </c>
      <c r="G541" s="3">
        <v>41450</v>
      </c>
      <c r="H541">
        <v>195840156</v>
      </c>
      <c r="I541" s="3">
        <v>41480</v>
      </c>
      <c r="J541">
        <v>2309</v>
      </c>
      <c r="K541">
        <v>668.27</v>
      </c>
      <c r="L541">
        <v>502.54</v>
      </c>
      <c r="M541">
        <f t="shared" si="72"/>
        <v>1543035.43</v>
      </c>
      <c r="N541">
        <f t="shared" si="73"/>
        <v>1160364.8600000001</v>
      </c>
      <c r="O541">
        <f t="shared" si="74"/>
        <v>382670.56999999983</v>
      </c>
      <c r="P541" s="6">
        <f t="shared" si="75"/>
        <v>0.24799856345489088</v>
      </c>
      <c r="Q541">
        <f t="shared" si="76"/>
        <v>30</v>
      </c>
      <c r="R541">
        <f t="shared" si="77"/>
        <v>2013</v>
      </c>
      <c r="S541" t="str">
        <f t="shared" si="78"/>
        <v>June</v>
      </c>
      <c r="T541">
        <f t="shared" si="79"/>
        <v>6</v>
      </c>
      <c r="U541" t="str">
        <f t="shared" si="80"/>
        <v>Medium Profit</v>
      </c>
    </row>
    <row r="542" spans="1:21" x14ac:dyDescent="0.35">
      <c r="A542" s="5" t="s">
        <v>37</v>
      </c>
      <c r="B542" s="5" t="s">
        <v>343</v>
      </c>
      <c r="C542" t="s">
        <v>21</v>
      </c>
      <c r="D542" t="s">
        <v>757</v>
      </c>
      <c r="E542" t="s">
        <v>23</v>
      </c>
      <c r="F542" t="s">
        <v>66</v>
      </c>
      <c r="G542" s="3">
        <v>41193</v>
      </c>
      <c r="H542">
        <v>849630105</v>
      </c>
      <c r="I542" s="3">
        <v>41222</v>
      </c>
      <c r="J542">
        <v>3284</v>
      </c>
      <c r="K542">
        <v>437.2</v>
      </c>
      <c r="L542">
        <v>263.33</v>
      </c>
      <c r="M542">
        <f t="shared" si="72"/>
        <v>1435764.8</v>
      </c>
      <c r="N542">
        <f t="shared" si="73"/>
        <v>864775.72</v>
      </c>
      <c r="O542">
        <f t="shared" si="74"/>
        <v>570989.08000000007</v>
      </c>
      <c r="P542" s="6">
        <f t="shared" si="75"/>
        <v>0.3976898444647759</v>
      </c>
      <c r="Q542">
        <f t="shared" si="76"/>
        <v>29</v>
      </c>
      <c r="R542">
        <f t="shared" si="77"/>
        <v>2012</v>
      </c>
      <c r="S542" t="str">
        <f t="shared" si="78"/>
        <v>October</v>
      </c>
      <c r="T542">
        <f t="shared" si="79"/>
        <v>10</v>
      </c>
      <c r="U542" t="str">
        <f t="shared" si="80"/>
        <v>High Profit</v>
      </c>
    </row>
    <row r="543" spans="1:21" x14ac:dyDescent="0.35">
      <c r="A543" s="5" t="s">
        <v>37</v>
      </c>
      <c r="B543" s="5" t="s">
        <v>139</v>
      </c>
      <c r="C543" t="s">
        <v>39</v>
      </c>
      <c r="D543" t="s">
        <v>758</v>
      </c>
      <c r="E543" t="s">
        <v>23</v>
      </c>
      <c r="F543" t="s">
        <v>24</v>
      </c>
      <c r="G543" s="3">
        <v>42924</v>
      </c>
      <c r="H543">
        <v>701816356</v>
      </c>
      <c r="I543" s="3">
        <v>42946</v>
      </c>
      <c r="J543">
        <v>1910</v>
      </c>
      <c r="K543">
        <v>9.33</v>
      </c>
      <c r="L543">
        <v>6.92</v>
      </c>
      <c r="M543">
        <f t="shared" si="72"/>
        <v>17820.3</v>
      </c>
      <c r="N543">
        <f t="shared" si="73"/>
        <v>13217.2</v>
      </c>
      <c r="O543">
        <f t="shared" si="74"/>
        <v>4603.0999999999985</v>
      </c>
      <c r="P543" s="6">
        <f t="shared" si="75"/>
        <v>0.25830653804930326</v>
      </c>
      <c r="Q543">
        <f t="shared" si="76"/>
        <v>22</v>
      </c>
      <c r="R543">
        <f t="shared" si="77"/>
        <v>2017</v>
      </c>
      <c r="S543" t="str">
        <f t="shared" si="78"/>
        <v>July</v>
      </c>
      <c r="T543">
        <f t="shared" si="79"/>
        <v>7</v>
      </c>
      <c r="U543" t="str">
        <f t="shared" si="80"/>
        <v>Low Profit</v>
      </c>
    </row>
    <row r="544" spans="1:21" x14ac:dyDescent="0.35">
      <c r="A544" s="5" t="s">
        <v>42</v>
      </c>
      <c r="B544" s="5" t="s">
        <v>759</v>
      </c>
      <c r="C544" t="s">
        <v>69</v>
      </c>
      <c r="D544" t="s">
        <v>760</v>
      </c>
      <c r="E544" t="s">
        <v>29</v>
      </c>
      <c r="F544" t="s">
        <v>24</v>
      </c>
      <c r="G544" s="3">
        <v>40351</v>
      </c>
      <c r="H544">
        <v>944635236</v>
      </c>
      <c r="I544" s="3">
        <v>40386</v>
      </c>
      <c r="J544">
        <v>7413</v>
      </c>
      <c r="K544">
        <v>651.21</v>
      </c>
      <c r="L544">
        <v>524.96</v>
      </c>
      <c r="M544">
        <f t="shared" si="72"/>
        <v>4827419.7300000004</v>
      </c>
      <c r="N544">
        <f t="shared" si="73"/>
        <v>3891528.4800000004</v>
      </c>
      <c r="O544">
        <f t="shared" si="74"/>
        <v>935891.25</v>
      </c>
      <c r="P544" s="6">
        <f t="shared" si="75"/>
        <v>0.19386987300563566</v>
      </c>
      <c r="Q544">
        <f t="shared" si="76"/>
        <v>35</v>
      </c>
      <c r="R544">
        <f t="shared" si="77"/>
        <v>2010</v>
      </c>
      <c r="S544" t="str">
        <f t="shared" si="78"/>
        <v>June</v>
      </c>
      <c r="T544">
        <f t="shared" si="79"/>
        <v>6</v>
      </c>
      <c r="U544" t="str">
        <f t="shared" si="80"/>
        <v>High Profit</v>
      </c>
    </row>
    <row r="545" spans="1:21" x14ac:dyDescent="0.35">
      <c r="A545" s="5" t="s">
        <v>42</v>
      </c>
      <c r="B545" s="5" t="s">
        <v>102</v>
      </c>
      <c r="C545" t="s">
        <v>27</v>
      </c>
      <c r="D545" t="s">
        <v>761</v>
      </c>
      <c r="E545" t="s">
        <v>29</v>
      </c>
      <c r="F545" t="s">
        <v>66</v>
      </c>
      <c r="G545" s="3">
        <v>42783</v>
      </c>
      <c r="H545">
        <v>140635573</v>
      </c>
      <c r="I545" s="3">
        <v>42815</v>
      </c>
      <c r="J545">
        <v>6046</v>
      </c>
      <c r="K545">
        <v>154.06</v>
      </c>
      <c r="L545">
        <v>90.93</v>
      </c>
      <c r="M545">
        <f t="shared" si="72"/>
        <v>931446.76</v>
      </c>
      <c r="N545">
        <f t="shared" si="73"/>
        <v>549762.78</v>
      </c>
      <c r="O545">
        <f t="shared" si="74"/>
        <v>381683.98</v>
      </c>
      <c r="P545" s="6">
        <f t="shared" si="75"/>
        <v>0.40977541217707386</v>
      </c>
      <c r="Q545">
        <f t="shared" si="76"/>
        <v>32</v>
      </c>
      <c r="R545">
        <f t="shared" si="77"/>
        <v>2017</v>
      </c>
      <c r="S545" t="str">
        <f t="shared" si="78"/>
        <v>February</v>
      </c>
      <c r="T545">
        <f t="shared" si="79"/>
        <v>2</v>
      </c>
      <c r="U545" t="str">
        <f t="shared" si="80"/>
        <v>Medium Profit</v>
      </c>
    </row>
    <row r="546" spans="1:21" x14ac:dyDescent="0.35">
      <c r="A546" s="5" t="s">
        <v>19</v>
      </c>
      <c r="B546" s="5" t="s">
        <v>239</v>
      </c>
      <c r="C546" t="s">
        <v>92</v>
      </c>
      <c r="D546" t="s">
        <v>762</v>
      </c>
      <c r="E546" t="s">
        <v>29</v>
      </c>
      <c r="F546" t="s">
        <v>32</v>
      </c>
      <c r="G546" s="3">
        <v>40557</v>
      </c>
      <c r="H546">
        <v>972678697</v>
      </c>
      <c r="I546" s="3">
        <v>40599</v>
      </c>
      <c r="J546">
        <v>6096</v>
      </c>
      <c r="K546">
        <v>421.89</v>
      </c>
      <c r="L546">
        <v>364.69</v>
      </c>
      <c r="M546">
        <f t="shared" si="72"/>
        <v>2571841.44</v>
      </c>
      <c r="N546">
        <f t="shared" si="73"/>
        <v>2223150.2399999998</v>
      </c>
      <c r="O546">
        <f t="shared" si="74"/>
        <v>348691.20000000019</v>
      </c>
      <c r="P546" s="6">
        <f t="shared" si="75"/>
        <v>0.13558036455000125</v>
      </c>
      <c r="Q546">
        <f t="shared" si="76"/>
        <v>42</v>
      </c>
      <c r="R546">
        <f t="shared" si="77"/>
        <v>2011</v>
      </c>
      <c r="S546" t="str">
        <f t="shared" si="78"/>
        <v>January</v>
      </c>
      <c r="T546">
        <f t="shared" si="79"/>
        <v>1</v>
      </c>
      <c r="U546" t="str">
        <f t="shared" si="80"/>
        <v>Medium Profit</v>
      </c>
    </row>
    <row r="547" spans="1:21" x14ac:dyDescent="0.35">
      <c r="A547" s="5" t="s">
        <v>37</v>
      </c>
      <c r="B547" s="5" t="s">
        <v>178</v>
      </c>
      <c r="C547" t="s">
        <v>39</v>
      </c>
      <c r="D547" t="s">
        <v>763</v>
      </c>
      <c r="E547" t="s">
        <v>29</v>
      </c>
      <c r="F547" t="s">
        <v>24</v>
      </c>
      <c r="G547" s="3">
        <v>42378</v>
      </c>
      <c r="H547">
        <v>793938434</v>
      </c>
      <c r="I547" s="3">
        <v>42408</v>
      </c>
      <c r="J547">
        <v>2880</v>
      </c>
      <c r="K547">
        <v>9.33</v>
      </c>
      <c r="L547">
        <v>6.92</v>
      </c>
      <c r="M547">
        <f t="shared" si="72"/>
        <v>26870.400000000001</v>
      </c>
      <c r="N547">
        <f t="shared" si="73"/>
        <v>19929.599999999999</v>
      </c>
      <c r="O547">
        <f t="shared" si="74"/>
        <v>6940.8000000000029</v>
      </c>
      <c r="P547" s="6">
        <f t="shared" si="75"/>
        <v>0.25830653804930342</v>
      </c>
      <c r="Q547">
        <f t="shared" si="76"/>
        <v>30</v>
      </c>
      <c r="R547">
        <f t="shared" si="77"/>
        <v>2016</v>
      </c>
      <c r="S547" t="str">
        <f t="shared" si="78"/>
        <v>January</v>
      </c>
      <c r="T547">
        <f t="shared" si="79"/>
        <v>1</v>
      </c>
      <c r="U547" t="str">
        <f t="shared" si="80"/>
        <v>Low Profit</v>
      </c>
    </row>
    <row r="548" spans="1:21" x14ac:dyDescent="0.35">
      <c r="A548" s="5" t="s">
        <v>42</v>
      </c>
      <c r="B548" s="5" t="s">
        <v>764</v>
      </c>
      <c r="C548" t="s">
        <v>30</v>
      </c>
      <c r="D548" t="s">
        <v>765</v>
      </c>
      <c r="E548" t="s">
        <v>29</v>
      </c>
      <c r="F548" t="s">
        <v>66</v>
      </c>
      <c r="G548" s="3">
        <v>40742</v>
      </c>
      <c r="H548">
        <v>177901113</v>
      </c>
      <c r="I548" s="3">
        <v>40768</v>
      </c>
      <c r="J548">
        <v>3747</v>
      </c>
      <c r="K548">
        <v>255.28</v>
      </c>
      <c r="L548">
        <v>159.41999999999999</v>
      </c>
      <c r="M548">
        <f t="shared" si="72"/>
        <v>956534.16</v>
      </c>
      <c r="N548">
        <f t="shared" si="73"/>
        <v>597346.74</v>
      </c>
      <c r="O548">
        <f t="shared" si="74"/>
        <v>359187.42000000004</v>
      </c>
      <c r="P548" s="6">
        <f t="shared" si="75"/>
        <v>0.37550924475086184</v>
      </c>
      <c r="Q548">
        <f t="shared" si="76"/>
        <v>26</v>
      </c>
      <c r="R548">
        <f t="shared" si="77"/>
        <v>2011</v>
      </c>
      <c r="S548" t="str">
        <f t="shared" si="78"/>
        <v>July</v>
      </c>
      <c r="T548">
        <f t="shared" si="79"/>
        <v>7</v>
      </c>
      <c r="U548" t="str">
        <f t="shared" si="80"/>
        <v>Medium Profit</v>
      </c>
    </row>
    <row r="549" spans="1:21" x14ac:dyDescent="0.35">
      <c r="A549" s="5" t="s">
        <v>33</v>
      </c>
      <c r="B549" s="5" t="s">
        <v>289</v>
      </c>
      <c r="C549" t="s">
        <v>72</v>
      </c>
      <c r="D549" t="s">
        <v>766</v>
      </c>
      <c r="E549" t="s">
        <v>29</v>
      </c>
      <c r="F549" t="s">
        <v>66</v>
      </c>
      <c r="G549" s="3">
        <v>40984</v>
      </c>
      <c r="H549">
        <v>668365561</v>
      </c>
      <c r="I549" s="3">
        <v>41033</v>
      </c>
      <c r="J549">
        <v>3077</v>
      </c>
      <c r="K549">
        <v>47.45</v>
      </c>
      <c r="L549">
        <v>31.79</v>
      </c>
      <c r="M549">
        <f t="shared" si="72"/>
        <v>146003.65000000002</v>
      </c>
      <c r="N549">
        <f t="shared" si="73"/>
        <v>97817.83</v>
      </c>
      <c r="O549">
        <f t="shared" si="74"/>
        <v>48185.820000000022</v>
      </c>
      <c r="P549" s="6">
        <f t="shared" si="75"/>
        <v>0.33003161222339317</v>
      </c>
      <c r="Q549">
        <f t="shared" si="76"/>
        <v>49</v>
      </c>
      <c r="R549">
        <f t="shared" si="77"/>
        <v>2012</v>
      </c>
      <c r="S549" t="str">
        <f t="shared" si="78"/>
        <v>March</v>
      </c>
      <c r="T549">
        <f t="shared" si="79"/>
        <v>3</v>
      </c>
      <c r="U549" t="str">
        <f t="shared" si="80"/>
        <v>Low Profit</v>
      </c>
    </row>
    <row r="550" spans="1:21" x14ac:dyDescent="0.35">
      <c r="A550" s="5" t="s">
        <v>53</v>
      </c>
      <c r="B550" s="5" t="s">
        <v>663</v>
      </c>
      <c r="C550" t="s">
        <v>27</v>
      </c>
      <c r="D550" t="s">
        <v>767</v>
      </c>
      <c r="E550" t="s">
        <v>29</v>
      </c>
      <c r="F550" t="s">
        <v>32</v>
      </c>
      <c r="G550" s="3">
        <v>40527</v>
      </c>
      <c r="H550">
        <v>729443109</v>
      </c>
      <c r="I550" s="3">
        <v>40555</v>
      </c>
      <c r="J550">
        <v>7281</v>
      </c>
      <c r="K550">
        <v>154.06</v>
      </c>
      <c r="L550">
        <v>90.93</v>
      </c>
      <c r="M550">
        <f t="shared" si="72"/>
        <v>1121710.8600000001</v>
      </c>
      <c r="N550">
        <f t="shared" si="73"/>
        <v>662061.33000000007</v>
      </c>
      <c r="O550">
        <f t="shared" si="74"/>
        <v>459649.53</v>
      </c>
      <c r="P550" s="6">
        <f t="shared" si="75"/>
        <v>0.40977541217707386</v>
      </c>
      <c r="Q550">
        <f t="shared" si="76"/>
        <v>28</v>
      </c>
      <c r="R550">
        <f t="shared" si="77"/>
        <v>2010</v>
      </c>
      <c r="S550" t="str">
        <f t="shared" si="78"/>
        <v>December</v>
      </c>
      <c r="T550">
        <f t="shared" si="79"/>
        <v>12</v>
      </c>
      <c r="U550" t="str">
        <f t="shared" si="80"/>
        <v>Medium Profit</v>
      </c>
    </row>
    <row r="551" spans="1:21" x14ac:dyDescent="0.35">
      <c r="A551" s="5" t="s">
        <v>37</v>
      </c>
      <c r="B551" s="5" t="s">
        <v>74</v>
      </c>
      <c r="C551" t="s">
        <v>39</v>
      </c>
      <c r="D551" t="s">
        <v>768</v>
      </c>
      <c r="E551" t="s">
        <v>23</v>
      </c>
      <c r="F551" t="s">
        <v>41</v>
      </c>
      <c r="G551" s="3">
        <v>41335</v>
      </c>
      <c r="H551">
        <v>695557582</v>
      </c>
      <c r="I551" s="3">
        <v>41367</v>
      </c>
      <c r="J551">
        <v>9800</v>
      </c>
      <c r="K551">
        <v>9.33</v>
      </c>
      <c r="L551">
        <v>6.92</v>
      </c>
      <c r="M551">
        <f t="shared" si="72"/>
        <v>91434</v>
      </c>
      <c r="N551">
        <f t="shared" si="73"/>
        <v>67816</v>
      </c>
      <c r="O551">
        <f t="shared" si="74"/>
        <v>23618</v>
      </c>
      <c r="P551" s="6">
        <f t="shared" si="75"/>
        <v>0.25830653804930331</v>
      </c>
      <c r="Q551">
        <f t="shared" si="76"/>
        <v>32</v>
      </c>
      <c r="R551">
        <f t="shared" si="77"/>
        <v>2013</v>
      </c>
      <c r="S551" t="str">
        <f t="shared" si="78"/>
        <v>March</v>
      </c>
      <c r="T551">
        <f t="shared" si="79"/>
        <v>3</v>
      </c>
      <c r="U551" t="str">
        <f t="shared" si="80"/>
        <v>Low Profit</v>
      </c>
    </row>
    <row r="552" spans="1:21" x14ac:dyDescent="0.35">
      <c r="A552" s="5" t="s">
        <v>37</v>
      </c>
      <c r="B552" s="5" t="s">
        <v>225</v>
      </c>
      <c r="C552" t="s">
        <v>60</v>
      </c>
      <c r="D552" t="s">
        <v>769</v>
      </c>
      <c r="E552" t="s">
        <v>23</v>
      </c>
      <c r="F552" t="s">
        <v>41</v>
      </c>
      <c r="G552" s="3">
        <v>40226</v>
      </c>
      <c r="H552">
        <v>521445310</v>
      </c>
      <c r="I552" s="3">
        <v>40272</v>
      </c>
      <c r="J552">
        <v>6110</v>
      </c>
      <c r="K552">
        <v>668.27</v>
      </c>
      <c r="L552">
        <v>502.54</v>
      </c>
      <c r="M552">
        <f t="shared" si="72"/>
        <v>4083129.6999999997</v>
      </c>
      <c r="N552">
        <f t="shared" si="73"/>
        <v>3070519.4</v>
      </c>
      <c r="O552">
        <f t="shared" si="74"/>
        <v>1012610.2999999998</v>
      </c>
      <c r="P552" s="6">
        <f t="shared" si="75"/>
        <v>0.24799856345489096</v>
      </c>
      <c r="Q552">
        <f t="shared" si="76"/>
        <v>46</v>
      </c>
      <c r="R552">
        <f t="shared" si="77"/>
        <v>2010</v>
      </c>
      <c r="S552" t="str">
        <f t="shared" si="78"/>
        <v>February</v>
      </c>
      <c r="T552">
        <f t="shared" si="79"/>
        <v>2</v>
      </c>
      <c r="U552" t="str">
        <f t="shared" si="80"/>
        <v>High Profit</v>
      </c>
    </row>
    <row r="553" spans="1:21" x14ac:dyDescent="0.35">
      <c r="A553" s="5" t="s">
        <v>33</v>
      </c>
      <c r="B553" s="5" t="s">
        <v>202</v>
      </c>
      <c r="C553" t="s">
        <v>83</v>
      </c>
      <c r="D553" t="s">
        <v>770</v>
      </c>
      <c r="E553" t="s">
        <v>29</v>
      </c>
      <c r="F553" t="s">
        <v>66</v>
      </c>
      <c r="G553" s="3">
        <v>41324</v>
      </c>
      <c r="H553">
        <v>232155120</v>
      </c>
      <c r="I553" s="3">
        <v>41363</v>
      </c>
      <c r="J553">
        <v>8714</v>
      </c>
      <c r="K553">
        <v>81.73</v>
      </c>
      <c r="L553">
        <v>56.67</v>
      </c>
      <c r="M553">
        <f t="shared" si="72"/>
        <v>712195.22000000009</v>
      </c>
      <c r="N553">
        <f t="shared" si="73"/>
        <v>493822.38</v>
      </c>
      <c r="O553">
        <f t="shared" si="74"/>
        <v>218372.84000000008</v>
      </c>
      <c r="P553" s="6">
        <f t="shared" si="75"/>
        <v>0.30661935641747223</v>
      </c>
      <c r="Q553">
        <f t="shared" si="76"/>
        <v>39</v>
      </c>
      <c r="R553">
        <f t="shared" si="77"/>
        <v>2013</v>
      </c>
      <c r="S553" t="str">
        <f t="shared" si="78"/>
        <v>February</v>
      </c>
      <c r="T553">
        <f t="shared" si="79"/>
        <v>2</v>
      </c>
      <c r="U553" t="str">
        <f t="shared" si="80"/>
        <v>Medium Profit</v>
      </c>
    </row>
    <row r="554" spans="1:21" x14ac:dyDescent="0.35">
      <c r="A554" s="5" t="s">
        <v>42</v>
      </c>
      <c r="B554" s="5" t="s">
        <v>68</v>
      </c>
      <c r="C554" t="s">
        <v>72</v>
      </c>
      <c r="D554" t="s">
        <v>771</v>
      </c>
      <c r="E554" t="s">
        <v>29</v>
      </c>
      <c r="F554" t="s">
        <v>66</v>
      </c>
      <c r="G554" s="3">
        <v>40844</v>
      </c>
      <c r="H554">
        <v>373048341</v>
      </c>
      <c r="I554" s="3">
        <v>40889</v>
      </c>
      <c r="J554">
        <v>2149</v>
      </c>
      <c r="K554">
        <v>47.45</v>
      </c>
      <c r="L554">
        <v>31.79</v>
      </c>
      <c r="M554">
        <f t="shared" si="72"/>
        <v>101970.05</v>
      </c>
      <c r="N554">
        <f t="shared" si="73"/>
        <v>68316.709999999992</v>
      </c>
      <c r="O554">
        <f t="shared" si="74"/>
        <v>33653.340000000011</v>
      </c>
      <c r="P554" s="6">
        <f t="shared" si="75"/>
        <v>0.33003161222339317</v>
      </c>
      <c r="Q554">
        <f t="shared" si="76"/>
        <v>45</v>
      </c>
      <c r="R554">
        <f t="shared" si="77"/>
        <v>2011</v>
      </c>
      <c r="S554" t="str">
        <f t="shared" si="78"/>
        <v>October</v>
      </c>
      <c r="T554">
        <f t="shared" si="79"/>
        <v>10</v>
      </c>
      <c r="U554" t="str">
        <f t="shared" si="80"/>
        <v>Low Profit</v>
      </c>
    </row>
    <row r="555" spans="1:21" x14ac:dyDescent="0.35">
      <c r="A555" s="5" t="s">
        <v>50</v>
      </c>
      <c r="B555" s="5" t="s">
        <v>109</v>
      </c>
      <c r="C555" t="s">
        <v>69</v>
      </c>
      <c r="D555" t="s">
        <v>772</v>
      </c>
      <c r="E555" t="s">
        <v>23</v>
      </c>
      <c r="F555" t="s">
        <v>66</v>
      </c>
      <c r="G555" s="3">
        <v>42303</v>
      </c>
      <c r="H555">
        <v>659798800</v>
      </c>
      <c r="I555" s="3">
        <v>42340</v>
      </c>
      <c r="J555">
        <v>7982</v>
      </c>
      <c r="K555">
        <v>651.21</v>
      </c>
      <c r="L555">
        <v>524.96</v>
      </c>
      <c r="M555">
        <f t="shared" si="72"/>
        <v>5197958.2200000007</v>
      </c>
      <c r="N555">
        <f t="shared" si="73"/>
        <v>4190230.72</v>
      </c>
      <c r="O555">
        <f t="shared" si="74"/>
        <v>1007727.5000000005</v>
      </c>
      <c r="P555" s="6">
        <f t="shared" si="75"/>
        <v>0.19386987300563574</v>
      </c>
      <c r="Q555">
        <f t="shared" si="76"/>
        <v>37</v>
      </c>
      <c r="R555">
        <f t="shared" si="77"/>
        <v>2015</v>
      </c>
      <c r="S555" t="str">
        <f t="shared" si="78"/>
        <v>October</v>
      </c>
      <c r="T555">
        <f t="shared" si="79"/>
        <v>10</v>
      </c>
      <c r="U555" t="str">
        <f t="shared" si="80"/>
        <v>High Profit</v>
      </c>
    </row>
    <row r="556" spans="1:21" x14ac:dyDescent="0.35">
      <c r="A556" s="5" t="s">
        <v>33</v>
      </c>
      <c r="B556" s="5" t="s">
        <v>85</v>
      </c>
      <c r="C556" t="s">
        <v>60</v>
      </c>
      <c r="D556" t="s">
        <v>773</v>
      </c>
      <c r="E556" t="s">
        <v>29</v>
      </c>
      <c r="F556" t="s">
        <v>32</v>
      </c>
      <c r="G556" s="3">
        <v>41310</v>
      </c>
      <c r="H556">
        <v>428392827</v>
      </c>
      <c r="I556" s="3">
        <v>41310</v>
      </c>
      <c r="J556">
        <v>9812</v>
      </c>
      <c r="K556">
        <v>668.27</v>
      </c>
      <c r="L556">
        <v>502.54</v>
      </c>
      <c r="M556">
        <f t="shared" si="72"/>
        <v>6557065.2400000002</v>
      </c>
      <c r="N556">
        <f t="shared" si="73"/>
        <v>4930922.4800000004</v>
      </c>
      <c r="O556">
        <f t="shared" si="74"/>
        <v>1626142.7599999998</v>
      </c>
      <c r="P556" s="6">
        <f t="shared" si="75"/>
        <v>0.24799856345489094</v>
      </c>
      <c r="Q556">
        <f t="shared" si="76"/>
        <v>0</v>
      </c>
      <c r="R556">
        <f t="shared" si="77"/>
        <v>2013</v>
      </c>
      <c r="S556" t="str">
        <f t="shared" si="78"/>
        <v>February</v>
      </c>
      <c r="T556">
        <f t="shared" si="79"/>
        <v>2</v>
      </c>
      <c r="U556" t="str">
        <f t="shared" si="80"/>
        <v>High Profit</v>
      </c>
    </row>
    <row r="557" spans="1:21" x14ac:dyDescent="0.35">
      <c r="A557" s="5" t="s">
        <v>33</v>
      </c>
      <c r="B557" s="5" t="s">
        <v>34</v>
      </c>
      <c r="C557" t="s">
        <v>83</v>
      </c>
      <c r="D557" t="s">
        <v>774</v>
      </c>
      <c r="E557" t="s">
        <v>23</v>
      </c>
      <c r="F557" t="s">
        <v>24</v>
      </c>
      <c r="G557" s="3">
        <v>40780</v>
      </c>
      <c r="H557">
        <v>885129249</v>
      </c>
      <c r="I557" s="3">
        <v>40789</v>
      </c>
      <c r="J557">
        <v>8269</v>
      </c>
      <c r="K557">
        <v>81.73</v>
      </c>
      <c r="L557">
        <v>56.67</v>
      </c>
      <c r="M557">
        <f t="shared" si="72"/>
        <v>675825.37</v>
      </c>
      <c r="N557">
        <f t="shared" si="73"/>
        <v>468604.23000000004</v>
      </c>
      <c r="O557">
        <f t="shared" si="74"/>
        <v>207221.13999999996</v>
      </c>
      <c r="P557" s="6">
        <f t="shared" si="75"/>
        <v>0.30661935641747212</v>
      </c>
      <c r="Q557">
        <f t="shared" si="76"/>
        <v>9</v>
      </c>
      <c r="R557">
        <f t="shared" si="77"/>
        <v>2011</v>
      </c>
      <c r="S557" t="str">
        <f t="shared" si="78"/>
        <v>August</v>
      </c>
      <c r="T557">
        <f t="shared" si="79"/>
        <v>8</v>
      </c>
      <c r="U557" t="str">
        <f t="shared" si="80"/>
        <v>Medium Profit</v>
      </c>
    </row>
    <row r="558" spans="1:21" x14ac:dyDescent="0.35">
      <c r="A558" s="5" t="s">
        <v>37</v>
      </c>
      <c r="B558" s="5" t="s">
        <v>164</v>
      </c>
      <c r="C558" t="s">
        <v>92</v>
      </c>
      <c r="D558" t="s">
        <v>775</v>
      </c>
      <c r="E558" t="s">
        <v>29</v>
      </c>
      <c r="F558" t="s">
        <v>32</v>
      </c>
      <c r="G558" s="3">
        <v>41247</v>
      </c>
      <c r="H558">
        <v>156619393</v>
      </c>
      <c r="I558" s="3">
        <v>41248</v>
      </c>
      <c r="J558">
        <v>6014</v>
      </c>
      <c r="K558">
        <v>421.89</v>
      </c>
      <c r="L558">
        <v>364.69</v>
      </c>
      <c r="M558">
        <f t="shared" si="72"/>
        <v>2537246.46</v>
      </c>
      <c r="N558">
        <f t="shared" si="73"/>
        <v>2193245.66</v>
      </c>
      <c r="O558">
        <f t="shared" si="74"/>
        <v>344000.79999999981</v>
      </c>
      <c r="P558" s="6">
        <f t="shared" si="75"/>
        <v>0.13558036455000111</v>
      </c>
      <c r="Q558">
        <f t="shared" si="76"/>
        <v>1</v>
      </c>
      <c r="R558">
        <f t="shared" si="77"/>
        <v>2012</v>
      </c>
      <c r="S558" t="str">
        <f t="shared" si="78"/>
        <v>December</v>
      </c>
      <c r="T558">
        <f t="shared" si="79"/>
        <v>12</v>
      </c>
      <c r="U558" t="str">
        <f t="shared" si="80"/>
        <v>Medium Profit</v>
      </c>
    </row>
    <row r="559" spans="1:21" x14ac:dyDescent="0.35">
      <c r="A559" s="5" t="s">
        <v>19</v>
      </c>
      <c r="B559" s="5" t="s">
        <v>239</v>
      </c>
      <c r="C559" t="s">
        <v>30</v>
      </c>
      <c r="D559" t="s">
        <v>776</v>
      </c>
      <c r="E559" t="s">
        <v>23</v>
      </c>
      <c r="F559" t="s">
        <v>24</v>
      </c>
      <c r="G559" s="3">
        <v>42255</v>
      </c>
      <c r="H559">
        <v>939787089</v>
      </c>
      <c r="I559" s="3">
        <v>42256</v>
      </c>
      <c r="J559">
        <v>2739</v>
      </c>
      <c r="K559">
        <v>255.28</v>
      </c>
      <c r="L559">
        <v>159.41999999999999</v>
      </c>
      <c r="M559">
        <f t="shared" si="72"/>
        <v>699211.92</v>
      </c>
      <c r="N559">
        <f t="shared" si="73"/>
        <v>436651.37999999995</v>
      </c>
      <c r="O559">
        <f t="shared" si="74"/>
        <v>262560.5400000001</v>
      </c>
      <c r="P559" s="6">
        <f t="shared" si="75"/>
        <v>0.37550924475086189</v>
      </c>
      <c r="Q559">
        <f t="shared" si="76"/>
        <v>1</v>
      </c>
      <c r="R559">
        <f t="shared" si="77"/>
        <v>2015</v>
      </c>
      <c r="S559" t="str">
        <f t="shared" si="78"/>
        <v>September</v>
      </c>
      <c r="T559">
        <f t="shared" si="79"/>
        <v>9</v>
      </c>
      <c r="U559" t="str">
        <f t="shared" si="80"/>
        <v>Medium Profit</v>
      </c>
    </row>
    <row r="560" spans="1:21" x14ac:dyDescent="0.35">
      <c r="A560" s="5" t="s">
        <v>50</v>
      </c>
      <c r="B560" s="5" t="s">
        <v>263</v>
      </c>
      <c r="C560" t="s">
        <v>27</v>
      </c>
      <c r="D560" t="s">
        <v>777</v>
      </c>
      <c r="E560" t="s">
        <v>29</v>
      </c>
      <c r="F560" t="s">
        <v>32</v>
      </c>
      <c r="G560" s="3">
        <v>40969</v>
      </c>
      <c r="H560">
        <v>151868665</v>
      </c>
      <c r="I560" s="3">
        <v>41018</v>
      </c>
      <c r="J560">
        <v>168</v>
      </c>
      <c r="K560">
        <v>154.06</v>
      </c>
      <c r="L560">
        <v>90.93</v>
      </c>
      <c r="M560">
        <f t="shared" si="72"/>
        <v>25882.080000000002</v>
      </c>
      <c r="N560">
        <f t="shared" si="73"/>
        <v>15276.240000000002</v>
      </c>
      <c r="O560">
        <f t="shared" si="74"/>
        <v>10605.84</v>
      </c>
      <c r="P560" s="6">
        <f t="shared" si="75"/>
        <v>0.40977541217707386</v>
      </c>
      <c r="Q560">
        <f t="shared" si="76"/>
        <v>49</v>
      </c>
      <c r="R560">
        <f t="shared" si="77"/>
        <v>2012</v>
      </c>
      <c r="S560" t="str">
        <f t="shared" si="78"/>
        <v>March</v>
      </c>
      <c r="T560">
        <f t="shared" si="79"/>
        <v>3</v>
      </c>
      <c r="U560" t="str">
        <f t="shared" si="80"/>
        <v>Low Profit</v>
      </c>
    </row>
    <row r="561" spans="1:21" x14ac:dyDescent="0.35">
      <c r="A561" s="5" t="s">
        <v>19</v>
      </c>
      <c r="B561" s="5" t="s">
        <v>176</v>
      </c>
      <c r="C561" t="s">
        <v>35</v>
      </c>
      <c r="D561" t="s">
        <v>778</v>
      </c>
      <c r="E561" t="s">
        <v>23</v>
      </c>
      <c r="F561" t="s">
        <v>32</v>
      </c>
      <c r="G561" s="3">
        <v>41856</v>
      </c>
      <c r="H561">
        <v>180412948</v>
      </c>
      <c r="I561" s="3">
        <v>41875</v>
      </c>
      <c r="J561">
        <v>7055</v>
      </c>
      <c r="K561">
        <v>205.7</v>
      </c>
      <c r="L561">
        <v>117.11</v>
      </c>
      <c r="M561">
        <f t="shared" si="72"/>
        <v>1451213.5</v>
      </c>
      <c r="N561">
        <f t="shared" si="73"/>
        <v>826211.05</v>
      </c>
      <c r="O561">
        <f t="shared" si="74"/>
        <v>625002.44999999995</v>
      </c>
      <c r="P561" s="6">
        <f t="shared" si="75"/>
        <v>0.43067574137092851</v>
      </c>
      <c r="Q561">
        <f t="shared" si="76"/>
        <v>19</v>
      </c>
      <c r="R561">
        <f t="shared" si="77"/>
        <v>2014</v>
      </c>
      <c r="S561" t="str">
        <f t="shared" si="78"/>
        <v>August</v>
      </c>
      <c r="T561">
        <f t="shared" si="79"/>
        <v>8</v>
      </c>
      <c r="U561" t="str">
        <f t="shared" si="80"/>
        <v>High Profit</v>
      </c>
    </row>
    <row r="562" spans="1:21" x14ac:dyDescent="0.35">
      <c r="A562" s="5" t="s">
        <v>37</v>
      </c>
      <c r="B562" s="5" t="s">
        <v>161</v>
      </c>
      <c r="C562" t="s">
        <v>39</v>
      </c>
      <c r="D562" t="s">
        <v>779</v>
      </c>
      <c r="E562" t="s">
        <v>23</v>
      </c>
      <c r="F562" t="s">
        <v>41</v>
      </c>
      <c r="G562" s="3">
        <v>41479</v>
      </c>
      <c r="H562">
        <v>333281266</v>
      </c>
      <c r="I562" s="3">
        <v>41483</v>
      </c>
      <c r="J562">
        <v>4188</v>
      </c>
      <c r="K562">
        <v>9.33</v>
      </c>
      <c r="L562">
        <v>6.92</v>
      </c>
      <c r="M562">
        <f t="shared" si="72"/>
        <v>39074.04</v>
      </c>
      <c r="N562">
        <f t="shared" si="73"/>
        <v>28980.959999999999</v>
      </c>
      <c r="O562">
        <f t="shared" si="74"/>
        <v>10093.080000000002</v>
      </c>
      <c r="P562" s="6">
        <f t="shared" si="75"/>
        <v>0.25830653804930337</v>
      </c>
      <c r="Q562">
        <f t="shared" si="76"/>
        <v>4</v>
      </c>
      <c r="R562">
        <f t="shared" si="77"/>
        <v>2013</v>
      </c>
      <c r="S562" t="str">
        <f t="shared" si="78"/>
        <v>July</v>
      </c>
      <c r="T562">
        <f t="shared" si="79"/>
        <v>7</v>
      </c>
      <c r="U562" t="str">
        <f t="shared" si="80"/>
        <v>Low Profit</v>
      </c>
    </row>
    <row r="563" spans="1:21" x14ac:dyDescent="0.35">
      <c r="A563" s="5" t="s">
        <v>50</v>
      </c>
      <c r="B563" s="5" t="s">
        <v>263</v>
      </c>
      <c r="C563" t="s">
        <v>21</v>
      </c>
      <c r="D563" t="s">
        <v>780</v>
      </c>
      <c r="E563" t="s">
        <v>29</v>
      </c>
      <c r="F563" t="s">
        <v>66</v>
      </c>
      <c r="G563" s="3">
        <v>40934</v>
      </c>
      <c r="H563">
        <v>888647449</v>
      </c>
      <c r="I563" s="3">
        <v>40967</v>
      </c>
      <c r="J563">
        <v>9383</v>
      </c>
      <c r="K563">
        <v>437.2</v>
      </c>
      <c r="L563">
        <v>263.33</v>
      </c>
      <c r="M563">
        <f t="shared" si="72"/>
        <v>4102247.6</v>
      </c>
      <c r="N563">
        <f t="shared" si="73"/>
        <v>2470825.3899999997</v>
      </c>
      <c r="O563">
        <f t="shared" si="74"/>
        <v>1631422.2100000004</v>
      </c>
      <c r="P563" s="6">
        <f t="shared" si="75"/>
        <v>0.39768984446477595</v>
      </c>
      <c r="Q563">
        <f t="shared" si="76"/>
        <v>33</v>
      </c>
      <c r="R563">
        <f t="shared" si="77"/>
        <v>2012</v>
      </c>
      <c r="S563" t="str">
        <f t="shared" si="78"/>
        <v>January</v>
      </c>
      <c r="T563">
        <f t="shared" si="79"/>
        <v>1</v>
      </c>
      <c r="U563" t="str">
        <f t="shared" si="80"/>
        <v>High Profit</v>
      </c>
    </row>
    <row r="564" spans="1:21" x14ac:dyDescent="0.35">
      <c r="A564" s="5" t="s">
        <v>37</v>
      </c>
      <c r="B564" s="5" t="s">
        <v>107</v>
      </c>
      <c r="C564" t="s">
        <v>48</v>
      </c>
      <c r="D564" t="s">
        <v>781</v>
      </c>
      <c r="E564" t="s">
        <v>23</v>
      </c>
      <c r="F564" t="s">
        <v>24</v>
      </c>
      <c r="G564" s="3">
        <v>41708</v>
      </c>
      <c r="H564">
        <v>844997823</v>
      </c>
      <c r="I564" s="3">
        <v>41755</v>
      </c>
      <c r="J564">
        <v>2488</v>
      </c>
      <c r="K564">
        <v>109.28</v>
      </c>
      <c r="L564">
        <v>35.840000000000003</v>
      </c>
      <c r="M564">
        <f t="shared" si="72"/>
        <v>271888.64000000001</v>
      </c>
      <c r="N564">
        <f t="shared" si="73"/>
        <v>89169.920000000013</v>
      </c>
      <c r="O564">
        <f t="shared" si="74"/>
        <v>182718.72</v>
      </c>
      <c r="P564" s="6">
        <f t="shared" si="75"/>
        <v>0.67203513909224011</v>
      </c>
      <c r="Q564">
        <f t="shared" si="76"/>
        <v>47</v>
      </c>
      <c r="R564">
        <f t="shared" si="77"/>
        <v>2014</v>
      </c>
      <c r="S564" t="str">
        <f t="shared" si="78"/>
        <v>March</v>
      </c>
      <c r="T564">
        <f t="shared" si="79"/>
        <v>3</v>
      </c>
      <c r="U564" t="str">
        <f t="shared" si="80"/>
        <v>Medium Profit</v>
      </c>
    </row>
    <row r="565" spans="1:21" x14ac:dyDescent="0.35">
      <c r="A565" s="5" t="s">
        <v>33</v>
      </c>
      <c r="B565" s="5" t="s">
        <v>85</v>
      </c>
      <c r="C565" t="s">
        <v>39</v>
      </c>
      <c r="D565" t="s">
        <v>782</v>
      </c>
      <c r="E565" t="s">
        <v>29</v>
      </c>
      <c r="F565" t="s">
        <v>24</v>
      </c>
      <c r="G565" s="3">
        <v>41529</v>
      </c>
      <c r="H565">
        <v>171131217</v>
      </c>
      <c r="I565" s="3">
        <v>41555</v>
      </c>
      <c r="J565">
        <v>385</v>
      </c>
      <c r="K565">
        <v>9.33</v>
      </c>
      <c r="L565">
        <v>6.92</v>
      </c>
      <c r="M565">
        <f t="shared" si="72"/>
        <v>3592.05</v>
      </c>
      <c r="N565">
        <f t="shared" si="73"/>
        <v>2664.2</v>
      </c>
      <c r="O565">
        <f t="shared" si="74"/>
        <v>927.85000000000036</v>
      </c>
      <c r="P565" s="6">
        <f t="shared" si="75"/>
        <v>0.25830653804930342</v>
      </c>
      <c r="Q565">
        <f t="shared" si="76"/>
        <v>26</v>
      </c>
      <c r="R565">
        <f t="shared" si="77"/>
        <v>2013</v>
      </c>
      <c r="S565" t="str">
        <f t="shared" si="78"/>
        <v>September</v>
      </c>
      <c r="T565">
        <f t="shared" si="79"/>
        <v>9</v>
      </c>
      <c r="U565" t="str">
        <f t="shared" si="80"/>
        <v>Low Profit</v>
      </c>
    </row>
    <row r="566" spans="1:21" x14ac:dyDescent="0.35">
      <c r="A566" s="5" t="s">
        <v>37</v>
      </c>
      <c r="B566" s="5" t="s">
        <v>155</v>
      </c>
      <c r="C566" t="s">
        <v>69</v>
      </c>
      <c r="D566" t="s">
        <v>783</v>
      </c>
      <c r="E566" t="s">
        <v>29</v>
      </c>
      <c r="F566" t="s">
        <v>32</v>
      </c>
      <c r="G566" s="3">
        <v>41279</v>
      </c>
      <c r="H566">
        <v>256158959</v>
      </c>
      <c r="I566" s="3">
        <v>41292</v>
      </c>
      <c r="J566">
        <v>1983</v>
      </c>
      <c r="K566">
        <v>651.21</v>
      </c>
      <c r="L566">
        <v>524.96</v>
      </c>
      <c r="M566">
        <f t="shared" si="72"/>
        <v>1291349.4300000002</v>
      </c>
      <c r="N566">
        <f t="shared" si="73"/>
        <v>1040995.68</v>
      </c>
      <c r="O566">
        <f t="shared" si="74"/>
        <v>250353.75000000012</v>
      </c>
      <c r="P566" s="6">
        <f t="shared" si="75"/>
        <v>0.19386987300563574</v>
      </c>
      <c r="Q566">
        <f t="shared" si="76"/>
        <v>13</v>
      </c>
      <c r="R566">
        <f t="shared" si="77"/>
        <v>2013</v>
      </c>
      <c r="S566" t="str">
        <f t="shared" si="78"/>
        <v>January</v>
      </c>
      <c r="T566">
        <f t="shared" si="79"/>
        <v>1</v>
      </c>
      <c r="U566" t="str">
        <f t="shared" si="80"/>
        <v>Medium Profit</v>
      </c>
    </row>
    <row r="567" spans="1:21" x14ac:dyDescent="0.35">
      <c r="A567" s="5" t="s">
        <v>42</v>
      </c>
      <c r="B567" s="5" t="s">
        <v>738</v>
      </c>
      <c r="C567" t="s">
        <v>21</v>
      </c>
      <c r="D567" t="s">
        <v>784</v>
      </c>
      <c r="E567" t="s">
        <v>29</v>
      </c>
      <c r="F567" t="s">
        <v>41</v>
      </c>
      <c r="G567" s="3">
        <v>40844</v>
      </c>
      <c r="H567">
        <v>759504878</v>
      </c>
      <c r="I567" s="3">
        <v>40885</v>
      </c>
      <c r="J567">
        <v>3226</v>
      </c>
      <c r="K567">
        <v>437.2</v>
      </c>
      <c r="L567">
        <v>263.33</v>
      </c>
      <c r="M567">
        <f t="shared" si="72"/>
        <v>1410407.2</v>
      </c>
      <c r="N567">
        <f t="shared" si="73"/>
        <v>849502.58</v>
      </c>
      <c r="O567">
        <f t="shared" si="74"/>
        <v>560904.62</v>
      </c>
      <c r="P567" s="6">
        <f t="shared" si="75"/>
        <v>0.39768984446477584</v>
      </c>
      <c r="Q567">
        <f t="shared" si="76"/>
        <v>41</v>
      </c>
      <c r="R567">
        <f t="shared" si="77"/>
        <v>2011</v>
      </c>
      <c r="S567" t="str">
        <f t="shared" si="78"/>
        <v>October</v>
      </c>
      <c r="T567">
        <f t="shared" si="79"/>
        <v>10</v>
      </c>
      <c r="U567" t="str">
        <f t="shared" si="80"/>
        <v>High Profit</v>
      </c>
    </row>
    <row r="568" spans="1:21" x14ac:dyDescent="0.35">
      <c r="A568" s="5" t="s">
        <v>19</v>
      </c>
      <c r="B568" s="5" t="s">
        <v>283</v>
      </c>
      <c r="C568" t="s">
        <v>39</v>
      </c>
      <c r="D568" t="s">
        <v>785</v>
      </c>
      <c r="E568" t="s">
        <v>29</v>
      </c>
      <c r="F568" t="s">
        <v>32</v>
      </c>
      <c r="G568" s="3">
        <v>40503</v>
      </c>
      <c r="H568">
        <v>960905301</v>
      </c>
      <c r="I568" s="3">
        <v>40507</v>
      </c>
      <c r="J568">
        <v>2087</v>
      </c>
      <c r="K568">
        <v>9.33</v>
      </c>
      <c r="L568">
        <v>6.92</v>
      </c>
      <c r="M568">
        <f t="shared" si="72"/>
        <v>19471.71</v>
      </c>
      <c r="N568">
        <f t="shared" si="73"/>
        <v>14442.039999999999</v>
      </c>
      <c r="O568">
        <f t="shared" si="74"/>
        <v>5029.67</v>
      </c>
      <c r="P568" s="6">
        <f t="shared" si="75"/>
        <v>0.25830653804930331</v>
      </c>
      <c r="Q568">
        <f t="shared" si="76"/>
        <v>4</v>
      </c>
      <c r="R568">
        <f t="shared" si="77"/>
        <v>2010</v>
      </c>
      <c r="S568" t="str">
        <f t="shared" si="78"/>
        <v>November</v>
      </c>
      <c r="T568">
        <f t="shared" si="79"/>
        <v>11</v>
      </c>
      <c r="U568" t="str">
        <f t="shared" si="80"/>
        <v>Low Profit</v>
      </c>
    </row>
    <row r="569" spans="1:21" x14ac:dyDescent="0.35">
      <c r="A569" s="5" t="s">
        <v>33</v>
      </c>
      <c r="B569" s="5" t="s">
        <v>237</v>
      </c>
      <c r="C569" t="s">
        <v>69</v>
      </c>
      <c r="D569" t="s">
        <v>786</v>
      </c>
      <c r="E569" t="s">
        <v>23</v>
      </c>
      <c r="F569" t="s">
        <v>32</v>
      </c>
      <c r="G569" s="3">
        <v>42305</v>
      </c>
      <c r="H569">
        <v>210409057</v>
      </c>
      <c r="I569" s="3">
        <v>42342</v>
      </c>
      <c r="J569">
        <v>3570</v>
      </c>
      <c r="K569">
        <v>651.21</v>
      </c>
      <c r="L569">
        <v>524.96</v>
      </c>
      <c r="M569">
        <f t="shared" si="72"/>
        <v>2324819.7000000002</v>
      </c>
      <c r="N569">
        <f t="shared" si="73"/>
        <v>1874107.2000000002</v>
      </c>
      <c r="O569">
        <f t="shared" si="74"/>
        <v>450712.5</v>
      </c>
      <c r="P569" s="6">
        <f t="shared" si="75"/>
        <v>0.19386987300563566</v>
      </c>
      <c r="Q569">
        <f t="shared" si="76"/>
        <v>37</v>
      </c>
      <c r="R569">
        <f t="shared" si="77"/>
        <v>2015</v>
      </c>
      <c r="S569" t="str">
        <f t="shared" si="78"/>
        <v>October</v>
      </c>
      <c r="T569">
        <f t="shared" si="79"/>
        <v>10</v>
      </c>
      <c r="U569" t="str">
        <f t="shared" si="80"/>
        <v>Medium Profit</v>
      </c>
    </row>
    <row r="570" spans="1:21" x14ac:dyDescent="0.35">
      <c r="A570" s="5" t="s">
        <v>37</v>
      </c>
      <c r="B570" s="5" t="s">
        <v>275</v>
      </c>
      <c r="C570" t="s">
        <v>21</v>
      </c>
      <c r="D570" t="s">
        <v>787</v>
      </c>
      <c r="E570" t="s">
        <v>23</v>
      </c>
      <c r="F570" t="s">
        <v>32</v>
      </c>
      <c r="G570" s="3">
        <v>40388</v>
      </c>
      <c r="H570">
        <v>178377473</v>
      </c>
      <c r="I570" s="3">
        <v>40422</v>
      </c>
      <c r="J570">
        <v>4713</v>
      </c>
      <c r="K570">
        <v>437.2</v>
      </c>
      <c r="L570">
        <v>263.33</v>
      </c>
      <c r="M570">
        <f t="shared" si="72"/>
        <v>2060523.5999999999</v>
      </c>
      <c r="N570">
        <f t="shared" si="73"/>
        <v>1241074.29</v>
      </c>
      <c r="O570">
        <f t="shared" si="74"/>
        <v>819449.30999999982</v>
      </c>
      <c r="P570" s="6">
        <f t="shared" si="75"/>
        <v>0.39768984446477579</v>
      </c>
      <c r="Q570">
        <f t="shared" si="76"/>
        <v>34</v>
      </c>
      <c r="R570">
        <f t="shared" si="77"/>
        <v>2010</v>
      </c>
      <c r="S570" t="str">
        <f t="shared" si="78"/>
        <v>July</v>
      </c>
      <c r="T570">
        <f t="shared" si="79"/>
        <v>7</v>
      </c>
      <c r="U570" t="str">
        <f t="shared" si="80"/>
        <v>High Profit</v>
      </c>
    </row>
    <row r="571" spans="1:21" x14ac:dyDescent="0.35">
      <c r="A571" s="5" t="s">
        <v>33</v>
      </c>
      <c r="B571" s="5" t="s">
        <v>85</v>
      </c>
      <c r="C571" t="s">
        <v>39</v>
      </c>
      <c r="D571" t="s">
        <v>788</v>
      </c>
      <c r="E571" t="s">
        <v>29</v>
      </c>
      <c r="F571" t="s">
        <v>24</v>
      </c>
      <c r="G571" s="3">
        <v>41728</v>
      </c>
      <c r="H571">
        <v>805484378</v>
      </c>
      <c r="I571" s="3">
        <v>41760</v>
      </c>
      <c r="J571">
        <v>9582</v>
      </c>
      <c r="K571">
        <v>9.33</v>
      </c>
      <c r="L571">
        <v>6.92</v>
      </c>
      <c r="M571">
        <f t="shared" si="72"/>
        <v>89400.06</v>
      </c>
      <c r="N571">
        <f t="shared" si="73"/>
        <v>66307.44</v>
      </c>
      <c r="O571">
        <f t="shared" si="74"/>
        <v>23092.619999999995</v>
      </c>
      <c r="P571" s="6">
        <f t="shared" si="75"/>
        <v>0.25830653804930326</v>
      </c>
      <c r="Q571">
        <f t="shared" si="76"/>
        <v>32</v>
      </c>
      <c r="R571">
        <f t="shared" si="77"/>
        <v>2014</v>
      </c>
      <c r="S571" t="str">
        <f t="shared" si="78"/>
        <v>March</v>
      </c>
      <c r="T571">
        <f t="shared" si="79"/>
        <v>3</v>
      </c>
      <c r="U571" t="str">
        <f t="shared" si="80"/>
        <v>Low Profit</v>
      </c>
    </row>
    <row r="572" spans="1:21" x14ac:dyDescent="0.35">
      <c r="A572" s="5" t="s">
        <v>33</v>
      </c>
      <c r="B572" s="5" t="s">
        <v>448</v>
      </c>
      <c r="C572" t="s">
        <v>72</v>
      </c>
      <c r="D572" t="s">
        <v>789</v>
      </c>
      <c r="E572" t="s">
        <v>29</v>
      </c>
      <c r="F572" t="s">
        <v>32</v>
      </c>
      <c r="G572" s="3">
        <v>42627</v>
      </c>
      <c r="H572">
        <v>752716100</v>
      </c>
      <c r="I572" s="3">
        <v>42655</v>
      </c>
      <c r="J572">
        <v>4276</v>
      </c>
      <c r="K572">
        <v>47.45</v>
      </c>
      <c r="L572">
        <v>31.79</v>
      </c>
      <c r="M572">
        <f t="shared" si="72"/>
        <v>202896.2</v>
      </c>
      <c r="N572">
        <f t="shared" si="73"/>
        <v>135934.04</v>
      </c>
      <c r="O572">
        <f t="shared" si="74"/>
        <v>66962.16</v>
      </c>
      <c r="P572" s="6">
        <f t="shared" si="75"/>
        <v>0.33003161222339306</v>
      </c>
      <c r="Q572">
        <f t="shared" si="76"/>
        <v>28</v>
      </c>
      <c r="R572">
        <f t="shared" si="77"/>
        <v>2016</v>
      </c>
      <c r="S572" t="str">
        <f t="shared" si="78"/>
        <v>September</v>
      </c>
      <c r="T572">
        <f t="shared" si="79"/>
        <v>9</v>
      </c>
      <c r="U572" t="str">
        <f t="shared" si="80"/>
        <v>Low Profit</v>
      </c>
    </row>
    <row r="573" spans="1:21" x14ac:dyDescent="0.35">
      <c r="A573" s="5" t="s">
        <v>42</v>
      </c>
      <c r="B573" s="5" t="s">
        <v>790</v>
      </c>
      <c r="C573" t="s">
        <v>48</v>
      </c>
      <c r="D573" t="s">
        <v>791</v>
      </c>
      <c r="E573" t="s">
        <v>29</v>
      </c>
      <c r="F573" t="s">
        <v>24</v>
      </c>
      <c r="G573" s="3">
        <v>41158</v>
      </c>
      <c r="H573">
        <v>551371467</v>
      </c>
      <c r="I573" s="3">
        <v>41167</v>
      </c>
      <c r="J573">
        <v>1925</v>
      </c>
      <c r="K573">
        <v>109.28</v>
      </c>
      <c r="L573">
        <v>35.840000000000003</v>
      </c>
      <c r="M573">
        <f t="shared" si="72"/>
        <v>210364</v>
      </c>
      <c r="N573">
        <f t="shared" si="73"/>
        <v>68992</v>
      </c>
      <c r="O573">
        <f t="shared" si="74"/>
        <v>141372</v>
      </c>
      <c r="P573" s="6">
        <f t="shared" si="75"/>
        <v>0.67203513909224011</v>
      </c>
      <c r="Q573">
        <f t="shared" si="76"/>
        <v>9</v>
      </c>
      <c r="R573">
        <f t="shared" si="77"/>
        <v>2012</v>
      </c>
      <c r="S573" t="str">
        <f t="shared" si="78"/>
        <v>September</v>
      </c>
      <c r="T573">
        <f t="shared" si="79"/>
        <v>9</v>
      </c>
      <c r="U573" t="str">
        <f t="shared" si="80"/>
        <v>Medium Profit</v>
      </c>
    </row>
    <row r="574" spans="1:21" x14ac:dyDescent="0.35">
      <c r="A574" s="5" t="s">
        <v>37</v>
      </c>
      <c r="B574" s="5" t="s">
        <v>133</v>
      </c>
      <c r="C574" t="s">
        <v>58</v>
      </c>
      <c r="D574" t="s">
        <v>792</v>
      </c>
      <c r="E574" t="s">
        <v>23</v>
      </c>
      <c r="F574" t="s">
        <v>24</v>
      </c>
      <c r="G574" s="3">
        <v>41313</v>
      </c>
      <c r="H574">
        <v>353061807</v>
      </c>
      <c r="I574" s="3">
        <v>41338</v>
      </c>
      <c r="J574">
        <v>7689</v>
      </c>
      <c r="K574">
        <v>152.58000000000001</v>
      </c>
      <c r="L574">
        <v>97.44</v>
      </c>
      <c r="M574">
        <f t="shared" si="72"/>
        <v>1173187.6200000001</v>
      </c>
      <c r="N574">
        <f t="shared" si="73"/>
        <v>749216.16</v>
      </c>
      <c r="O574">
        <f t="shared" si="74"/>
        <v>423971.46000000008</v>
      </c>
      <c r="P574" s="6">
        <f t="shared" si="75"/>
        <v>0.36138419189933152</v>
      </c>
      <c r="Q574">
        <f t="shared" si="76"/>
        <v>25</v>
      </c>
      <c r="R574">
        <f t="shared" si="77"/>
        <v>2013</v>
      </c>
      <c r="S574" t="str">
        <f t="shared" si="78"/>
        <v>February</v>
      </c>
      <c r="T574">
        <f t="shared" si="79"/>
        <v>2</v>
      </c>
      <c r="U574" t="str">
        <f t="shared" si="80"/>
        <v>Medium Profit</v>
      </c>
    </row>
    <row r="575" spans="1:21" x14ac:dyDescent="0.35">
      <c r="A575" s="5" t="s">
        <v>37</v>
      </c>
      <c r="B575" s="5" t="s">
        <v>416</v>
      </c>
      <c r="C575" t="s">
        <v>83</v>
      </c>
      <c r="D575" t="s">
        <v>793</v>
      </c>
      <c r="E575" t="s">
        <v>29</v>
      </c>
      <c r="F575" t="s">
        <v>32</v>
      </c>
      <c r="G575" s="3">
        <v>40560</v>
      </c>
      <c r="H575">
        <v>379710948</v>
      </c>
      <c r="I575" s="3">
        <v>40573</v>
      </c>
      <c r="J575">
        <v>3762</v>
      </c>
      <c r="K575">
        <v>81.73</v>
      </c>
      <c r="L575">
        <v>56.67</v>
      </c>
      <c r="M575">
        <f t="shared" si="72"/>
        <v>307468.26</v>
      </c>
      <c r="N575">
        <f t="shared" si="73"/>
        <v>213192.54</v>
      </c>
      <c r="O575">
        <f t="shared" si="74"/>
        <v>94275.72</v>
      </c>
      <c r="P575" s="6">
        <f t="shared" si="75"/>
        <v>0.30661935641747218</v>
      </c>
      <c r="Q575">
        <f t="shared" si="76"/>
        <v>13</v>
      </c>
      <c r="R575">
        <f t="shared" si="77"/>
        <v>2011</v>
      </c>
      <c r="S575" t="str">
        <f t="shared" si="78"/>
        <v>January</v>
      </c>
      <c r="T575">
        <f t="shared" si="79"/>
        <v>1</v>
      </c>
      <c r="U575" t="str">
        <f t="shared" si="80"/>
        <v>Low Profit</v>
      </c>
    </row>
    <row r="576" spans="1:21" x14ac:dyDescent="0.35">
      <c r="A576" s="5" t="s">
        <v>37</v>
      </c>
      <c r="B576" s="5" t="s">
        <v>191</v>
      </c>
      <c r="C576" t="s">
        <v>35</v>
      </c>
      <c r="D576" t="s">
        <v>794</v>
      </c>
      <c r="E576" t="s">
        <v>29</v>
      </c>
      <c r="F576" t="s">
        <v>41</v>
      </c>
      <c r="G576" s="3">
        <v>42288</v>
      </c>
      <c r="H576">
        <v>473555219</v>
      </c>
      <c r="I576" s="3">
        <v>42314</v>
      </c>
      <c r="J576">
        <v>4368</v>
      </c>
      <c r="K576">
        <v>205.7</v>
      </c>
      <c r="L576">
        <v>117.11</v>
      </c>
      <c r="M576">
        <f t="shared" si="72"/>
        <v>898497.6</v>
      </c>
      <c r="N576">
        <f t="shared" si="73"/>
        <v>511536.48</v>
      </c>
      <c r="O576">
        <f t="shared" si="74"/>
        <v>386961.12</v>
      </c>
      <c r="P576" s="6">
        <f t="shared" si="75"/>
        <v>0.43067574137092857</v>
      </c>
      <c r="Q576">
        <f t="shared" si="76"/>
        <v>26</v>
      </c>
      <c r="R576">
        <f t="shared" si="77"/>
        <v>2015</v>
      </c>
      <c r="S576" t="str">
        <f t="shared" si="78"/>
        <v>October</v>
      </c>
      <c r="T576">
        <f t="shared" si="79"/>
        <v>10</v>
      </c>
      <c r="U576" t="str">
        <f t="shared" si="80"/>
        <v>Medium Profit</v>
      </c>
    </row>
    <row r="577" spans="1:21" x14ac:dyDescent="0.35">
      <c r="A577" s="5" t="s">
        <v>37</v>
      </c>
      <c r="B577" s="5" t="s">
        <v>100</v>
      </c>
      <c r="C577" t="s">
        <v>69</v>
      </c>
      <c r="D577" t="s">
        <v>795</v>
      </c>
      <c r="E577" t="s">
        <v>29</v>
      </c>
      <c r="F577" t="s">
        <v>32</v>
      </c>
      <c r="G577" s="3">
        <v>40595</v>
      </c>
      <c r="H577">
        <v>547143447</v>
      </c>
      <c r="I577" s="3">
        <v>40597</v>
      </c>
      <c r="J577">
        <v>760</v>
      </c>
      <c r="K577">
        <v>651.21</v>
      </c>
      <c r="L577">
        <v>524.96</v>
      </c>
      <c r="M577">
        <f t="shared" si="72"/>
        <v>494919.60000000003</v>
      </c>
      <c r="N577">
        <f t="shared" si="73"/>
        <v>398969.60000000003</v>
      </c>
      <c r="O577">
        <f t="shared" si="74"/>
        <v>95950</v>
      </c>
      <c r="P577" s="6">
        <f t="shared" si="75"/>
        <v>0.19386987300563566</v>
      </c>
      <c r="Q577">
        <f t="shared" si="76"/>
        <v>2</v>
      </c>
      <c r="R577">
        <f t="shared" si="77"/>
        <v>2011</v>
      </c>
      <c r="S577" t="str">
        <f t="shared" si="78"/>
        <v>February</v>
      </c>
      <c r="T577">
        <f t="shared" si="79"/>
        <v>2</v>
      </c>
      <c r="U577" t="str">
        <f t="shared" si="80"/>
        <v>Low Profit</v>
      </c>
    </row>
    <row r="578" spans="1:21" x14ac:dyDescent="0.35">
      <c r="A578" s="5" t="s">
        <v>50</v>
      </c>
      <c r="B578" s="5" t="s">
        <v>263</v>
      </c>
      <c r="C578" t="s">
        <v>83</v>
      </c>
      <c r="D578" t="s">
        <v>796</v>
      </c>
      <c r="E578" t="s">
        <v>29</v>
      </c>
      <c r="F578" t="s">
        <v>32</v>
      </c>
      <c r="G578" s="3">
        <v>41028</v>
      </c>
      <c r="H578">
        <v>133336961</v>
      </c>
      <c r="I578" s="3">
        <v>41073</v>
      </c>
      <c r="J578">
        <v>6225</v>
      </c>
      <c r="K578">
        <v>81.73</v>
      </c>
      <c r="L578">
        <v>56.67</v>
      </c>
      <c r="M578">
        <f t="shared" si="72"/>
        <v>508769.25</v>
      </c>
      <c r="N578">
        <f t="shared" si="73"/>
        <v>352770.75</v>
      </c>
      <c r="O578">
        <f t="shared" si="74"/>
        <v>155998.5</v>
      </c>
      <c r="P578" s="6">
        <f t="shared" si="75"/>
        <v>0.30661935641747218</v>
      </c>
      <c r="Q578">
        <f t="shared" si="76"/>
        <v>45</v>
      </c>
      <c r="R578">
        <f t="shared" si="77"/>
        <v>2012</v>
      </c>
      <c r="S578" t="str">
        <f t="shared" si="78"/>
        <v>April</v>
      </c>
      <c r="T578">
        <f t="shared" si="79"/>
        <v>4</v>
      </c>
      <c r="U578" t="str">
        <f t="shared" si="80"/>
        <v>Medium Profit</v>
      </c>
    </row>
    <row r="579" spans="1:21" x14ac:dyDescent="0.35">
      <c r="A579" s="5" t="s">
        <v>19</v>
      </c>
      <c r="B579" s="5" t="s">
        <v>176</v>
      </c>
      <c r="C579" t="s">
        <v>92</v>
      </c>
      <c r="D579" t="s">
        <v>797</v>
      </c>
      <c r="E579" t="s">
        <v>29</v>
      </c>
      <c r="F579" t="s">
        <v>41</v>
      </c>
      <c r="G579" s="3">
        <v>42612</v>
      </c>
      <c r="H579">
        <v>635309588</v>
      </c>
      <c r="I579" s="3">
        <v>42657</v>
      </c>
      <c r="J579">
        <v>1080</v>
      </c>
      <c r="K579">
        <v>421.89</v>
      </c>
      <c r="L579">
        <v>364.69</v>
      </c>
      <c r="M579">
        <f t="shared" ref="M579:M642" si="81">J579*K579</f>
        <v>455641.2</v>
      </c>
      <c r="N579">
        <f t="shared" ref="N579:N642" si="82">J579*L579</f>
        <v>393865.2</v>
      </c>
      <c r="O579">
        <f t="shared" ref="O579:O642" si="83">M579-N579</f>
        <v>61776</v>
      </c>
      <c r="P579" s="6">
        <f t="shared" ref="P579:P642" si="84">O579/M579</f>
        <v>0.13558036455000119</v>
      </c>
      <c r="Q579">
        <f t="shared" ref="Q579:Q642" si="85">I579-G579</f>
        <v>45</v>
      </c>
      <c r="R579">
        <f t="shared" ref="R579:R642" si="86">YEAR(G579)</f>
        <v>2016</v>
      </c>
      <c r="S579" t="str">
        <f t="shared" ref="S579:S642" si="87">TEXT(G579,"mmmm")</f>
        <v>August</v>
      </c>
      <c r="T579">
        <f t="shared" ref="T579:T642" si="88">MONTH(G579)</f>
        <v>8</v>
      </c>
      <c r="U579" t="str">
        <f t="shared" ref="U579:U642" si="89">IF(O579&gt;=500000,"High Profit",
IF(O579&gt;=100000,"Medium Profit","Low Profit"))</f>
        <v>Low Profit</v>
      </c>
    </row>
    <row r="580" spans="1:21" x14ac:dyDescent="0.35">
      <c r="A580" s="5" t="s">
        <v>37</v>
      </c>
      <c r="B580" s="5" t="s">
        <v>384</v>
      </c>
      <c r="C580" t="s">
        <v>72</v>
      </c>
      <c r="D580" t="s">
        <v>798</v>
      </c>
      <c r="E580" t="s">
        <v>29</v>
      </c>
      <c r="F580" t="s">
        <v>32</v>
      </c>
      <c r="G580" s="3">
        <v>41993</v>
      </c>
      <c r="H580">
        <v>376547658</v>
      </c>
      <c r="I580" s="3">
        <v>41999</v>
      </c>
      <c r="J580">
        <v>7675</v>
      </c>
      <c r="K580">
        <v>47.45</v>
      </c>
      <c r="L580">
        <v>31.79</v>
      </c>
      <c r="M580">
        <f t="shared" si="81"/>
        <v>364178.75</v>
      </c>
      <c r="N580">
        <f t="shared" si="82"/>
        <v>243988.25</v>
      </c>
      <c r="O580">
        <f t="shared" si="83"/>
        <v>120190.5</v>
      </c>
      <c r="P580" s="6">
        <f t="shared" si="84"/>
        <v>0.33003161222339306</v>
      </c>
      <c r="Q580">
        <f t="shared" si="85"/>
        <v>6</v>
      </c>
      <c r="R580">
        <f t="shared" si="86"/>
        <v>2014</v>
      </c>
      <c r="S580" t="str">
        <f t="shared" si="87"/>
        <v>December</v>
      </c>
      <c r="T580">
        <f t="shared" si="88"/>
        <v>12</v>
      </c>
      <c r="U580" t="str">
        <f t="shared" si="89"/>
        <v>Medium Profit</v>
      </c>
    </row>
    <row r="581" spans="1:21" x14ac:dyDescent="0.35">
      <c r="A581" s="5" t="s">
        <v>19</v>
      </c>
      <c r="B581" s="5" t="s">
        <v>560</v>
      </c>
      <c r="C581" t="s">
        <v>48</v>
      </c>
      <c r="D581" t="s">
        <v>799</v>
      </c>
      <c r="E581" t="s">
        <v>23</v>
      </c>
      <c r="F581" t="s">
        <v>24</v>
      </c>
      <c r="G581" s="3">
        <v>40357</v>
      </c>
      <c r="H581">
        <v>450849997</v>
      </c>
      <c r="I581" s="3">
        <v>40380</v>
      </c>
      <c r="J581">
        <v>5388</v>
      </c>
      <c r="K581">
        <v>109.28</v>
      </c>
      <c r="L581">
        <v>35.840000000000003</v>
      </c>
      <c r="M581">
        <f t="shared" si="81"/>
        <v>588800.64</v>
      </c>
      <c r="N581">
        <f t="shared" si="82"/>
        <v>193105.92000000001</v>
      </c>
      <c r="O581">
        <f t="shared" si="83"/>
        <v>395694.72</v>
      </c>
      <c r="P581" s="6">
        <f t="shared" si="84"/>
        <v>0.67203513909224011</v>
      </c>
      <c r="Q581">
        <f t="shared" si="85"/>
        <v>23</v>
      </c>
      <c r="R581">
        <f t="shared" si="86"/>
        <v>2010</v>
      </c>
      <c r="S581" t="str">
        <f t="shared" si="87"/>
        <v>June</v>
      </c>
      <c r="T581">
        <f t="shared" si="88"/>
        <v>6</v>
      </c>
      <c r="U581" t="str">
        <f t="shared" si="89"/>
        <v>Medium Profit</v>
      </c>
    </row>
    <row r="582" spans="1:21" x14ac:dyDescent="0.35">
      <c r="A582" s="5" t="s">
        <v>33</v>
      </c>
      <c r="B582" s="5" t="s">
        <v>247</v>
      </c>
      <c r="C582" t="s">
        <v>83</v>
      </c>
      <c r="D582" t="s">
        <v>800</v>
      </c>
      <c r="E582" t="s">
        <v>29</v>
      </c>
      <c r="F582" t="s">
        <v>24</v>
      </c>
      <c r="G582" s="3">
        <v>42041</v>
      </c>
      <c r="H582">
        <v>672327935</v>
      </c>
      <c r="I582" s="3">
        <v>42041</v>
      </c>
      <c r="J582">
        <v>5631</v>
      </c>
      <c r="K582">
        <v>81.73</v>
      </c>
      <c r="L582">
        <v>56.67</v>
      </c>
      <c r="M582">
        <f t="shared" si="81"/>
        <v>460221.63</v>
      </c>
      <c r="N582">
        <f t="shared" si="82"/>
        <v>319108.77</v>
      </c>
      <c r="O582">
        <f t="shared" si="83"/>
        <v>141112.85999999999</v>
      </c>
      <c r="P582" s="6">
        <f t="shared" si="84"/>
        <v>0.30661935641747212</v>
      </c>
      <c r="Q582">
        <f t="shared" si="85"/>
        <v>0</v>
      </c>
      <c r="R582">
        <f t="shared" si="86"/>
        <v>2015</v>
      </c>
      <c r="S582" t="str">
        <f t="shared" si="87"/>
        <v>February</v>
      </c>
      <c r="T582">
        <f t="shared" si="88"/>
        <v>2</v>
      </c>
      <c r="U582" t="str">
        <f t="shared" si="89"/>
        <v>Medium Profit</v>
      </c>
    </row>
    <row r="583" spans="1:21" x14ac:dyDescent="0.35">
      <c r="A583" s="5" t="s">
        <v>50</v>
      </c>
      <c r="B583" s="5" t="s">
        <v>195</v>
      </c>
      <c r="C583" t="s">
        <v>35</v>
      </c>
      <c r="D583" t="s">
        <v>801</v>
      </c>
      <c r="E583" t="s">
        <v>23</v>
      </c>
      <c r="F583" t="s">
        <v>66</v>
      </c>
      <c r="G583" s="3">
        <v>42093</v>
      </c>
      <c r="H583">
        <v>925405299</v>
      </c>
      <c r="I583" s="3">
        <v>42125</v>
      </c>
      <c r="J583">
        <v>6847</v>
      </c>
      <c r="K583">
        <v>205.7</v>
      </c>
      <c r="L583">
        <v>117.11</v>
      </c>
      <c r="M583">
        <f t="shared" si="81"/>
        <v>1408427.9</v>
      </c>
      <c r="N583">
        <f t="shared" si="82"/>
        <v>801852.17</v>
      </c>
      <c r="O583">
        <f t="shared" si="83"/>
        <v>606575.72999999986</v>
      </c>
      <c r="P583" s="6">
        <f t="shared" si="84"/>
        <v>0.43067574137092846</v>
      </c>
      <c r="Q583">
        <f t="shared" si="85"/>
        <v>32</v>
      </c>
      <c r="R583">
        <f t="shared" si="86"/>
        <v>2015</v>
      </c>
      <c r="S583" t="str">
        <f t="shared" si="87"/>
        <v>March</v>
      </c>
      <c r="T583">
        <f t="shared" si="88"/>
        <v>3</v>
      </c>
      <c r="U583" t="str">
        <f t="shared" si="89"/>
        <v>High Profit</v>
      </c>
    </row>
    <row r="584" spans="1:21" x14ac:dyDescent="0.35">
      <c r="A584" s="5" t="s">
        <v>50</v>
      </c>
      <c r="B584" s="5" t="s">
        <v>195</v>
      </c>
      <c r="C584" t="s">
        <v>60</v>
      </c>
      <c r="D584" t="s">
        <v>802</v>
      </c>
      <c r="E584" t="s">
        <v>23</v>
      </c>
      <c r="F584" t="s">
        <v>41</v>
      </c>
      <c r="G584" s="3">
        <v>41483</v>
      </c>
      <c r="H584">
        <v>714818418</v>
      </c>
      <c r="I584" s="3">
        <v>41510</v>
      </c>
      <c r="J584">
        <v>9509</v>
      </c>
      <c r="K584">
        <v>668.27</v>
      </c>
      <c r="L584">
        <v>502.54</v>
      </c>
      <c r="M584">
        <f t="shared" si="81"/>
        <v>6354579.4299999997</v>
      </c>
      <c r="N584">
        <f t="shared" si="82"/>
        <v>4778652.8600000003</v>
      </c>
      <c r="O584">
        <f t="shared" si="83"/>
        <v>1575926.5699999994</v>
      </c>
      <c r="P584" s="6">
        <f t="shared" si="84"/>
        <v>0.24799856345489091</v>
      </c>
      <c r="Q584">
        <f t="shared" si="85"/>
        <v>27</v>
      </c>
      <c r="R584">
        <f t="shared" si="86"/>
        <v>2013</v>
      </c>
      <c r="S584" t="str">
        <f t="shared" si="87"/>
        <v>July</v>
      </c>
      <c r="T584">
        <f t="shared" si="88"/>
        <v>7</v>
      </c>
      <c r="U584" t="str">
        <f t="shared" si="89"/>
        <v>High Profit</v>
      </c>
    </row>
    <row r="585" spans="1:21" x14ac:dyDescent="0.35">
      <c r="A585" s="5" t="s">
        <v>42</v>
      </c>
      <c r="B585" s="5" t="s">
        <v>414</v>
      </c>
      <c r="C585" t="s">
        <v>72</v>
      </c>
      <c r="D585" t="s">
        <v>803</v>
      </c>
      <c r="E585" t="s">
        <v>23</v>
      </c>
      <c r="F585" t="s">
        <v>32</v>
      </c>
      <c r="G585" s="3">
        <v>40184</v>
      </c>
      <c r="H585">
        <v>515616118</v>
      </c>
      <c r="I585" s="3">
        <v>40214</v>
      </c>
      <c r="J585">
        <v>1122</v>
      </c>
      <c r="K585">
        <v>47.45</v>
      </c>
      <c r="L585">
        <v>31.79</v>
      </c>
      <c r="M585">
        <f t="shared" si="81"/>
        <v>53238.9</v>
      </c>
      <c r="N585">
        <f t="shared" si="82"/>
        <v>35668.379999999997</v>
      </c>
      <c r="O585">
        <f t="shared" si="83"/>
        <v>17570.520000000004</v>
      </c>
      <c r="P585" s="6">
        <f t="shared" si="84"/>
        <v>0.33003161222339311</v>
      </c>
      <c r="Q585">
        <f t="shared" si="85"/>
        <v>30</v>
      </c>
      <c r="R585">
        <f t="shared" si="86"/>
        <v>2010</v>
      </c>
      <c r="S585" t="str">
        <f t="shared" si="87"/>
        <v>January</v>
      </c>
      <c r="T585">
        <f t="shared" si="88"/>
        <v>1</v>
      </c>
      <c r="U585" t="str">
        <f t="shared" si="89"/>
        <v>Low Profit</v>
      </c>
    </row>
    <row r="586" spans="1:21" x14ac:dyDescent="0.35">
      <c r="A586" s="5" t="s">
        <v>42</v>
      </c>
      <c r="B586" s="5" t="s">
        <v>400</v>
      </c>
      <c r="C586" t="s">
        <v>35</v>
      </c>
      <c r="D586" t="s">
        <v>804</v>
      </c>
      <c r="E586" t="s">
        <v>23</v>
      </c>
      <c r="F586" t="s">
        <v>32</v>
      </c>
      <c r="G586" s="3">
        <v>41325</v>
      </c>
      <c r="H586">
        <v>423159730</v>
      </c>
      <c r="I586" s="3">
        <v>41375</v>
      </c>
      <c r="J586">
        <v>1222</v>
      </c>
      <c r="K586">
        <v>205.7</v>
      </c>
      <c r="L586">
        <v>117.11</v>
      </c>
      <c r="M586">
        <f t="shared" si="81"/>
        <v>251365.4</v>
      </c>
      <c r="N586">
        <f t="shared" si="82"/>
        <v>143108.42000000001</v>
      </c>
      <c r="O586">
        <f t="shared" si="83"/>
        <v>108256.97999999998</v>
      </c>
      <c r="P586" s="6">
        <f t="shared" si="84"/>
        <v>0.43067574137092846</v>
      </c>
      <c r="Q586">
        <f t="shared" si="85"/>
        <v>50</v>
      </c>
      <c r="R586">
        <f t="shared" si="86"/>
        <v>2013</v>
      </c>
      <c r="S586" t="str">
        <f t="shared" si="87"/>
        <v>February</v>
      </c>
      <c r="T586">
        <f t="shared" si="88"/>
        <v>2</v>
      </c>
      <c r="U586" t="str">
        <f t="shared" si="89"/>
        <v>Medium Profit</v>
      </c>
    </row>
    <row r="587" spans="1:21" x14ac:dyDescent="0.35">
      <c r="A587" s="5" t="s">
        <v>42</v>
      </c>
      <c r="B587" s="5" t="s">
        <v>198</v>
      </c>
      <c r="C587" t="s">
        <v>83</v>
      </c>
      <c r="D587" t="s">
        <v>805</v>
      </c>
      <c r="E587" t="s">
        <v>23</v>
      </c>
      <c r="F587" t="s">
        <v>41</v>
      </c>
      <c r="G587" s="3">
        <v>41511</v>
      </c>
      <c r="H587">
        <v>603123080</v>
      </c>
      <c r="I587" s="3">
        <v>41546</v>
      </c>
      <c r="J587">
        <v>6377</v>
      </c>
      <c r="K587">
        <v>81.73</v>
      </c>
      <c r="L587">
        <v>56.67</v>
      </c>
      <c r="M587">
        <f t="shared" si="81"/>
        <v>521192.21</v>
      </c>
      <c r="N587">
        <f t="shared" si="82"/>
        <v>361384.59</v>
      </c>
      <c r="O587">
        <f t="shared" si="83"/>
        <v>159807.62</v>
      </c>
      <c r="P587" s="6">
        <f t="shared" si="84"/>
        <v>0.30661935641747212</v>
      </c>
      <c r="Q587">
        <f t="shared" si="85"/>
        <v>35</v>
      </c>
      <c r="R587">
        <f t="shared" si="86"/>
        <v>2013</v>
      </c>
      <c r="S587" t="str">
        <f t="shared" si="87"/>
        <v>August</v>
      </c>
      <c r="T587">
        <f t="shared" si="88"/>
        <v>8</v>
      </c>
      <c r="U587" t="str">
        <f t="shared" si="89"/>
        <v>Medium Profit</v>
      </c>
    </row>
    <row r="588" spans="1:21" x14ac:dyDescent="0.35">
      <c r="A588" s="5" t="s">
        <v>42</v>
      </c>
      <c r="B588" s="5" t="s">
        <v>273</v>
      </c>
      <c r="C588" t="s">
        <v>92</v>
      </c>
      <c r="D588" t="s">
        <v>806</v>
      </c>
      <c r="E588" t="s">
        <v>23</v>
      </c>
      <c r="F588" t="s">
        <v>32</v>
      </c>
      <c r="G588" s="3">
        <v>40498</v>
      </c>
      <c r="H588">
        <v>841492497</v>
      </c>
      <c r="I588" s="3">
        <v>40543</v>
      </c>
      <c r="J588">
        <v>5185</v>
      </c>
      <c r="K588">
        <v>421.89</v>
      </c>
      <c r="L588">
        <v>364.69</v>
      </c>
      <c r="M588">
        <f t="shared" si="81"/>
        <v>2187499.65</v>
      </c>
      <c r="N588">
        <f t="shared" si="82"/>
        <v>1890917.65</v>
      </c>
      <c r="O588">
        <f t="shared" si="83"/>
        <v>296582</v>
      </c>
      <c r="P588" s="6">
        <f t="shared" si="84"/>
        <v>0.13558036455000119</v>
      </c>
      <c r="Q588">
        <f t="shared" si="85"/>
        <v>45</v>
      </c>
      <c r="R588">
        <f t="shared" si="86"/>
        <v>2010</v>
      </c>
      <c r="S588" t="str">
        <f t="shared" si="87"/>
        <v>November</v>
      </c>
      <c r="T588">
        <f t="shared" si="88"/>
        <v>11</v>
      </c>
      <c r="U588" t="str">
        <f t="shared" si="89"/>
        <v>Medium Profit</v>
      </c>
    </row>
    <row r="589" spans="1:21" x14ac:dyDescent="0.35">
      <c r="A589" s="5" t="s">
        <v>37</v>
      </c>
      <c r="B589" s="5" t="s">
        <v>94</v>
      </c>
      <c r="C589" t="s">
        <v>35</v>
      </c>
      <c r="D589" t="s">
        <v>807</v>
      </c>
      <c r="E589" t="s">
        <v>23</v>
      </c>
      <c r="F589" t="s">
        <v>66</v>
      </c>
      <c r="G589" s="3">
        <v>42584</v>
      </c>
      <c r="H589">
        <v>994566810</v>
      </c>
      <c r="I589" s="3">
        <v>42614</v>
      </c>
      <c r="J589">
        <v>3275</v>
      </c>
      <c r="K589">
        <v>205.7</v>
      </c>
      <c r="L589">
        <v>117.11</v>
      </c>
      <c r="M589">
        <f t="shared" si="81"/>
        <v>673667.5</v>
      </c>
      <c r="N589">
        <f t="shared" si="82"/>
        <v>383535.25</v>
      </c>
      <c r="O589">
        <f t="shared" si="83"/>
        <v>290132.25</v>
      </c>
      <c r="P589" s="6">
        <f t="shared" si="84"/>
        <v>0.43067574137092851</v>
      </c>
      <c r="Q589">
        <f t="shared" si="85"/>
        <v>30</v>
      </c>
      <c r="R589">
        <f t="shared" si="86"/>
        <v>2016</v>
      </c>
      <c r="S589" t="str">
        <f t="shared" si="87"/>
        <v>August</v>
      </c>
      <c r="T589">
        <f t="shared" si="88"/>
        <v>8</v>
      </c>
      <c r="U589" t="str">
        <f t="shared" si="89"/>
        <v>Medium Profit</v>
      </c>
    </row>
    <row r="590" spans="1:21" x14ac:dyDescent="0.35">
      <c r="A590" s="5" t="s">
        <v>19</v>
      </c>
      <c r="B590" s="5" t="s">
        <v>560</v>
      </c>
      <c r="C590" t="s">
        <v>27</v>
      </c>
      <c r="D590" t="s">
        <v>808</v>
      </c>
      <c r="E590" t="s">
        <v>23</v>
      </c>
      <c r="F590" t="s">
        <v>24</v>
      </c>
      <c r="G590" s="3">
        <v>41389</v>
      </c>
      <c r="H590">
        <v>538957345</v>
      </c>
      <c r="I590" s="3">
        <v>41389</v>
      </c>
      <c r="J590">
        <v>8310</v>
      </c>
      <c r="K590">
        <v>154.06</v>
      </c>
      <c r="L590">
        <v>90.93</v>
      </c>
      <c r="M590">
        <f t="shared" si="81"/>
        <v>1280238.6000000001</v>
      </c>
      <c r="N590">
        <f t="shared" si="82"/>
        <v>755628.3</v>
      </c>
      <c r="O590">
        <f t="shared" si="83"/>
        <v>524610.30000000005</v>
      </c>
      <c r="P590" s="6">
        <f t="shared" si="84"/>
        <v>0.40977541217707386</v>
      </c>
      <c r="Q590">
        <f t="shared" si="85"/>
        <v>0</v>
      </c>
      <c r="R590">
        <f t="shared" si="86"/>
        <v>2013</v>
      </c>
      <c r="S590" t="str">
        <f t="shared" si="87"/>
        <v>April</v>
      </c>
      <c r="T590">
        <f t="shared" si="88"/>
        <v>4</v>
      </c>
      <c r="U590" t="str">
        <f t="shared" si="89"/>
        <v>High Profit</v>
      </c>
    </row>
    <row r="591" spans="1:21" x14ac:dyDescent="0.35">
      <c r="A591" s="5" t="s">
        <v>37</v>
      </c>
      <c r="B591" s="5" t="s">
        <v>254</v>
      </c>
      <c r="C591" t="s">
        <v>39</v>
      </c>
      <c r="D591" t="s">
        <v>809</v>
      </c>
      <c r="E591" t="s">
        <v>23</v>
      </c>
      <c r="F591" t="s">
        <v>66</v>
      </c>
      <c r="G591" s="3">
        <v>40604</v>
      </c>
      <c r="H591">
        <v>821587932</v>
      </c>
      <c r="I591" s="3">
        <v>40613</v>
      </c>
      <c r="J591">
        <v>4981</v>
      </c>
      <c r="K591">
        <v>9.33</v>
      </c>
      <c r="L591">
        <v>6.92</v>
      </c>
      <c r="M591">
        <f t="shared" si="81"/>
        <v>46472.73</v>
      </c>
      <c r="N591">
        <f t="shared" si="82"/>
        <v>34468.519999999997</v>
      </c>
      <c r="O591">
        <f t="shared" si="83"/>
        <v>12004.210000000006</v>
      </c>
      <c r="P591" s="6">
        <f t="shared" si="84"/>
        <v>0.25830653804930342</v>
      </c>
      <c r="Q591">
        <f t="shared" si="85"/>
        <v>9</v>
      </c>
      <c r="R591">
        <f t="shared" si="86"/>
        <v>2011</v>
      </c>
      <c r="S591" t="str">
        <f t="shared" si="87"/>
        <v>March</v>
      </c>
      <c r="T591">
        <f t="shared" si="88"/>
        <v>3</v>
      </c>
      <c r="U591" t="str">
        <f t="shared" si="89"/>
        <v>Low Profit</v>
      </c>
    </row>
    <row r="592" spans="1:21" x14ac:dyDescent="0.35">
      <c r="A592" s="5" t="s">
        <v>37</v>
      </c>
      <c r="B592" s="5" t="s">
        <v>416</v>
      </c>
      <c r="C592" t="s">
        <v>60</v>
      </c>
      <c r="D592" t="s">
        <v>810</v>
      </c>
      <c r="E592" t="s">
        <v>29</v>
      </c>
      <c r="F592" t="s">
        <v>32</v>
      </c>
      <c r="G592" s="3">
        <v>41545</v>
      </c>
      <c r="H592">
        <v>109694898</v>
      </c>
      <c r="I592" s="3">
        <v>41563</v>
      </c>
      <c r="J592">
        <v>13</v>
      </c>
      <c r="K592">
        <v>668.27</v>
      </c>
      <c r="L592">
        <v>502.54</v>
      </c>
      <c r="M592">
        <f t="shared" si="81"/>
        <v>8687.51</v>
      </c>
      <c r="N592">
        <f t="shared" si="82"/>
        <v>6533.02</v>
      </c>
      <c r="O592">
        <f t="shared" si="83"/>
        <v>2154.4899999999998</v>
      </c>
      <c r="P592" s="6">
        <f t="shared" si="84"/>
        <v>0.24799856345489096</v>
      </c>
      <c r="Q592">
        <f t="shared" si="85"/>
        <v>18</v>
      </c>
      <c r="R592">
        <f t="shared" si="86"/>
        <v>2013</v>
      </c>
      <c r="S592" t="str">
        <f t="shared" si="87"/>
        <v>September</v>
      </c>
      <c r="T592">
        <f t="shared" si="88"/>
        <v>9</v>
      </c>
      <c r="U592" t="str">
        <f t="shared" si="89"/>
        <v>Low Profit</v>
      </c>
    </row>
    <row r="593" spans="1:21" x14ac:dyDescent="0.35">
      <c r="A593" s="5" t="s">
        <v>37</v>
      </c>
      <c r="B593" s="5" t="s">
        <v>100</v>
      </c>
      <c r="C593" t="s">
        <v>92</v>
      </c>
      <c r="D593" t="s">
        <v>811</v>
      </c>
      <c r="E593" t="s">
        <v>23</v>
      </c>
      <c r="F593" t="s">
        <v>24</v>
      </c>
      <c r="G593" s="3">
        <v>41764</v>
      </c>
      <c r="H593">
        <v>340827071</v>
      </c>
      <c r="I593" s="3">
        <v>41795</v>
      </c>
      <c r="J593">
        <v>7159</v>
      </c>
      <c r="K593">
        <v>421.89</v>
      </c>
      <c r="L593">
        <v>364.69</v>
      </c>
      <c r="M593">
        <f t="shared" si="81"/>
        <v>3020310.51</v>
      </c>
      <c r="N593">
        <f t="shared" si="82"/>
        <v>2610815.71</v>
      </c>
      <c r="O593">
        <f t="shared" si="83"/>
        <v>409494.79999999981</v>
      </c>
      <c r="P593" s="6">
        <f t="shared" si="84"/>
        <v>0.13558036455000114</v>
      </c>
      <c r="Q593">
        <f t="shared" si="85"/>
        <v>31</v>
      </c>
      <c r="R593">
        <f t="shared" si="86"/>
        <v>2014</v>
      </c>
      <c r="S593" t="str">
        <f t="shared" si="87"/>
        <v>May</v>
      </c>
      <c r="T593">
        <f t="shared" si="88"/>
        <v>5</v>
      </c>
      <c r="U593" t="str">
        <f t="shared" si="89"/>
        <v>Medium Profit</v>
      </c>
    </row>
    <row r="594" spans="1:21" x14ac:dyDescent="0.35">
      <c r="A594" s="5" t="s">
        <v>37</v>
      </c>
      <c r="B594" s="5" t="s">
        <v>100</v>
      </c>
      <c r="C594" t="s">
        <v>92</v>
      </c>
      <c r="D594" t="s">
        <v>812</v>
      </c>
      <c r="E594" t="s">
        <v>23</v>
      </c>
      <c r="F594" t="s">
        <v>66</v>
      </c>
      <c r="G594" s="3">
        <v>41971</v>
      </c>
      <c r="H594">
        <v>372845780</v>
      </c>
      <c r="I594" s="3">
        <v>41982</v>
      </c>
      <c r="J594">
        <v>2207</v>
      </c>
      <c r="K594">
        <v>421.89</v>
      </c>
      <c r="L594">
        <v>364.69</v>
      </c>
      <c r="M594">
        <f t="shared" si="81"/>
        <v>931111.23</v>
      </c>
      <c r="N594">
        <f t="shared" si="82"/>
        <v>804870.83</v>
      </c>
      <c r="O594">
        <f t="shared" si="83"/>
        <v>126240.40000000002</v>
      </c>
      <c r="P594" s="6">
        <f t="shared" si="84"/>
        <v>0.13558036455000122</v>
      </c>
      <c r="Q594">
        <f t="shared" si="85"/>
        <v>11</v>
      </c>
      <c r="R594">
        <f t="shared" si="86"/>
        <v>2014</v>
      </c>
      <c r="S594" t="str">
        <f t="shared" si="87"/>
        <v>November</v>
      </c>
      <c r="T594">
        <f t="shared" si="88"/>
        <v>11</v>
      </c>
      <c r="U594" t="str">
        <f t="shared" si="89"/>
        <v>Medium Profit</v>
      </c>
    </row>
    <row r="595" spans="1:21" x14ac:dyDescent="0.35">
      <c r="A595" s="5" t="s">
        <v>50</v>
      </c>
      <c r="B595" s="5" t="s">
        <v>296</v>
      </c>
      <c r="C595" t="s">
        <v>39</v>
      </c>
      <c r="D595" t="s">
        <v>813</v>
      </c>
      <c r="E595" t="s">
        <v>29</v>
      </c>
      <c r="F595" t="s">
        <v>24</v>
      </c>
      <c r="G595" s="3">
        <v>41881</v>
      </c>
      <c r="H595">
        <v>933924853</v>
      </c>
      <c r="I595" s="3">
        <v>41895</v>
      </c>
      <c r="J595">
        <v>7973</v>
      </c>
      <c r="K595">
        <v>9.33</v>
      </c>
      <c r="L595">
        <v>6.92</v>
      </c>
      <c r="M595">
        <f t="shared" si="81"/>
        <v>74388.09</v>
      </c>
      <c r="N595">
        <f t="shared" si="82"/>
        <v>55173.159999999996</v>
      </c>
      <c r="O595">
        <f t="shared" si="83"/>
        <v>19214.93</v>
      </c>
      <c r="P595" s="6">
        <f t="shared" si="84"/>
        <v>0.25830653804930331</v>
      </c>
      <c r="Q595">
        <f t="shared" si="85"/>
        <v>14</v>
      </c>
      <c r="R595">
        <f t="shared" si="86"/>
        <v>2014</v>
      </c>
      <c r="S595" t="str">
        <f t="shared" si="87"/>
        <v>August</v>
      </c>
      <c r="T595">
        <f t="shared" si="88"/>
        <v>8</v>
      </c>
      <c r="U595" t="str">
        <f t="shared" si="89"/>
        <v>Low Profit</v>
      </c>
    </row>
    <row r="596" spans="1:21" x14ac:dyDescent="0.35">
      <c r="A596" s="5" t="s">
        <v>19</v>
      </c>
      <c r="B596" s="5" t="s">
        <v>320</v>
      </c>
      <c r="C596" t="s">
        <v>69</v>
      </c>
      <c r="D596" t="s">
        <v>814</v>
      </c>
      <c r="E596" t="s">
        <v>29</v>
      </c>
      <c r="F596" t="s">
        <v>66</v>
      </c>
      <c r="G596" s="3">
        <v>41598</v>
      </c>
      <c r="H596">
        <v>572550618</v>
      </c>
      <c r="I596" s="3">
        <v>41603</v>
      </c>
      <c r="J596">
        <v>9306</v>
      </c>
      <c r="K596">
        <v>651.21</v>
      </c>
      <c r="L596">
        <v>524.96</v>
      </c>
      <c r="M596">
        <f t="shared" si="81"/>
        <v>6060160.2600000007</v>
      </c>
      <c r="N596">
        <f t="shared" si="82"/>
        <v>4885277.7600000007</v>
      </c>
      <c r="O596">
        <f t="shared" si="83"/>
        <v>1174882.5</v>
      </c>
      <c r="P596" s="6">
        <f t="shared" si="84"/>
        <v>0.19386987300563563</v>
      </c>
      <c r="Q596">
        <f t="shared" si="85"/>
        <v>5</v>
      </c>
      <c r="R596">
        <f t="shared" si="86"/>
        <v>2013</v>
      </c>
      <c r="S596" t="str">
        <f t="shared" si="87"/>
        <v>November</v>
      </c>
      <c r="T596">
        <f t="shared" si="88"/>
        <v>11</v>
      </c>
      <c r="U596" t="str">
        <f t="shared" si="89"/>
        <v>High Profit</v>
      </c>
    </row>
    <row r="597" spans="1:21" x14ac:dyDescent="0.35">
      <c r="A597" s="5" t="s">
        <v>42</v>
      </c>
      <c r="B597" s="5" t="s">
        <v>308</v>
      </c>
      <c r="C597" t="s">
        <v>92</v>
      </c>
      <c r="D597" t="s">
        <v>815</v>
      </c>
      <c r="E597" t="s">
        <v>29</v>
      </c>
      <c r="F597" t="s">
        <v>24</v>
      </c>
      <c r="G597" s="3">
        <v>40232</v>
      </c>
      <c r="H597">
        <v>607521903</v>
      </c>
      <c r="I597" s="3">
        <v>40273</v>
      </c>
      <c r="J597">
        <v>8086</v>
      </c>
      <c r="K597">
        <v>421.89</v>
      </c>
      <c r="L597">
        <v>364.69</v>
      </c>
      <c r="M597">
        <f t="shared" si="81"/>
        <v>3411402.54</v>
      </c>
      <c r="N597">
        <f t="shared" si="82"/>
        <v>2948883.34</v>
      </c>
      <c r="O597">
        <f t="shared" si="83"/>
        <v>462519.20000000019</v>
      </c>
      <c r="P597" s="6">
        <f t="shared" si="84"/>
        <v>0.13558036455000125</v>
      </c>
      <c r="Q597">
        <f t="shared" si="85"/>
        <v>41</v>
      </c>
      <c r="R597">
        <f t="shared" si="86"/>
        <v>2010</v>
      </c>
      <c r="S597" t="str">
        <f t="shared" si="87"/>
        <v>February</v>
      </c>
      <c r="T597">
        <f t="shared" si="88"/>
        <v>2</v>
      </c>
      <c r="U597" t="str">
        <f t="shared" si="89"/>
        <v>Medium Profit</v>
      </c>
    </row>
    <row r="598" spans="1:21" x14ac:dyDescent="0.35">
      <c r="A598" s="5" t="s">
        <v>19</v>
      </c>
      <c r="B598" s="5" t="s">
        <v>182</v>
      </c>
      <c r="C598" t="s">
        <v>58</v>
      </c>
      <c r="D598" t="s">
        <v>816</v>
      </c>
      <c r="E598" t="s">
        <v>29</v>
      </c>
      <c r="F598" t="s">
        <v>41</v>
      </c>
      <c r="G598" s="3">
        <v>42814</v>
      </c>
      <c r="H598">
        <v>177950036</v>
      </c>
      <c r="I598" s="3">
        <v>42854</v>
      </c>
      <c r="J598">
        <v>8225</v>
      </c>
      <c r="K598">
        <v>152.58000000000001</v>
      </c>
      <c r="L598">
        <v>97.44</v>
      </c>
      <c r="M598">
        <f t="shared" si="81"/>
        <v>1254970.5</v>
      </c>
      <c r="N598">
        <f t="shared" si="82"/>
        <v>801444</v>
      </c>
      <c r="O598">
        <f t="shared" si="83"/>
        <v>453526.5</v>
      </c>
      <c r="P598" s="6">
        <f t="shared" si="84"/>
        <v>0.36138419189933152</v>
      </c>
      <c r="Q598">
        <f t="shared" si="85"/>
        <v>40</v>
      </c>
      <c r="R598">
        <f t="shared" si="86"/>
        <v>2017</v>
      </c>
      <c r="S598" t="str">
        <f t="shared" si="87"/>
        <v>March</v>
      </c>
      <c r="T598">
        <f t="shared" si="88"/>
        <v>3</v>
      </c>
      <c r="U598" t="str">
        <f t="shared" si="89"/>
        <v>Medium Profit</v>
      </c>
    </row>
    <row r="599" spans="1:21" x14ac:dyDescent="0.35">
      <c r="A599" s="5" t="s">
        <v>53</v>
      </c>
      <c r="B599" s="5" t="s">
        <v>131</v>
      </c>
      <c r="C599" t="s">
        <v>72</v>
      </c>
      <c r="D599" t="s">
        <v>817</v>
      </c>
      <c r="E599" t="s">
        <v>23</v>
      </c>
      <c r="F599" t="s">
        <v>24</v>
      </c>
      <c r="G599" s="3">
        <v>42316</v>
      </c>
      <c r="H599">
        <v>293258845</v>
      </c>
      <c r="I599" s="3">
        <v>42322</v>
      </c>
      <c r="J599">
        <v>664</v>
      </c>
      <c r="K599">
        <v>47.45</v>
      </c>
      <c r="L599">
        <v>31.79</v>
      </c>
      <c r="M599">
        <f t="shared" si="81"/>
        <v>31506.800000000003</v>
      </c>
      <c r="N599">
        <f t="shared" si="82"/>
        <v>21108.559999999998</v>
      </c>
      <c r="O599">
        <f t="shared" si="83"/>
        <v>10398.240000000005</v>
      </c>
      <c r="P599" s="6">
        <f t="shared" si="84"/>
        <v>0.33003161222339317</v>
      </c>
      <c r="Q599">
        <f t="shared" si="85"/>
        <v>6</v>
      </c>
      <c r="R599">
        <f t="shared" si="86"/>
        <v>2015</v>
      </c>
      <c r="S599" t="str">
        <f t="shared" si="87"/>
        <v>November</v>
      </c>
      <c r="T599">
        <f t="shared" si="88"/>
        <v>11</v>
      </c>
      <c r="U599" t="str">
        <f t="shared" si="89"/>
        <v>Low Profit</v>
      </c>
    </row>
    <row r="600" spans="1:21" x14ac:dyDescent="0.35">
      <c r="A600" s="5" t="s">
        <v>37</v>
      </c>
      <c r="B600" s="5" t="s">
        <v>178</v>
      </c>
      <c r="C600" t="s">
        <v>72</v>
      </c>
      <c r="D600" t="s">
        <v>818</v>
      </c>
      <c r="E600" t="s">
        <v>29</v>
      </c>
      <c r="F600" t="s">
        <v>32</v>
      </c>
      <c r="G600" s="3">
        <v>40399</v>
      </c>
      <c r="H600">
        <v>683184659</v>
      </c>
      <c r="I600" s="3">
        <v>40413</v>
      </c>
      <c r="J600">
        <v>8377</v>
      </c>
      <c r="K600">
        <v>47.45</v>
      </c>
      <c r="L600">
        <v>31.79</v>
      </c>
      <c r="M600">
        <f t="shared" si="81"/>
        <v>397488.65</v>
      </c>
      <c r="N600">
        <f t="shared" si="82"/>
        <v>266304.83</v>
      </c>
      <c r="O600">
        <f t="shared" si="83"/>
        <v>131183.82</v>
      </c>
      <c r="P600" s="6">
        <f t="shared" si="84"/>
        <v>0.33003161222339306</v>
      </c>
      <c r="Q600">
        <f t="shared" si="85"/>
        <v>14</v>
      </c>
      <c r="R600">
        <f t="shared" si="86"/>
        <v>2010</v>
      </c>
      <c r="S600" t="str">
        <f t="shared" si="87"/>
        <v>August</v>
      </c>
      <c r="T600">
        <f t="shared" si="88"/>
        <v>8</v>
      </c>
      <c r="U600" t="str">
        <f t="shared" si="89"/>
        <v>Medium Profit</v>
      </c>
    </row>
    <row r="601" spans="1:21" x14ac:dyDescent="0.35">
      <c r="A601" s="5" t="s">
        <v>42</v>
      </c>
      <c r="B601" s="5" t="s">
        <v>111</v>
      </c>
      <c r="C601" t="s">
        <v>35</v>
      </c>
      <c r="D601" t="s">
        <v>819</v>
      </c>
      <c r="E601" t="s">
        <v>29</v>
      </c>
      <c r="F601" t="s">
        <v>66</v>
      </c>
      <c r="G601" s="3">
        <v>40494</v>
      </c>
      <c r="H601">
        <v>247776305</v>
      </c>
      <c r="I601" s="3">
        <v>40512</v>
      </c>
      <c r="J601">
        <v>1370</v>
      </c>
      <c r="K601">
        <v>205.7</v>
      </c>
      <c r="L601">
        <v>117.11</v>
      </c>
      <c r="M601">
        <f t="shared" si="81"/>
        <v>281809</v>
      </c>
      <c r="N601">
        <f t="shared" si="82"/>
        <v>160440.70000000001</v>
      </c>
      <c r="O601">
        <f t="shared" si="83"/>
        <v>121368.29999999999</v>
      </c>
      <c r="P601" s="6">
        <f t="shared" si="84"/>
        <v>0.43067574137092851</v>
      </c>
      <c r="Q601">
        <f t="shared" si="85"/>
        <v>18</v>
      </c>
      <c r="R601">
        <f t="shared" si="86"/>
        <v>2010</v>
      </c>
      <c r="S601" t="str">
        <f t="shared" si="87"/>
        <v>November</v>
      </c>
      <c r="T601">
        <f t="shared" si="88"/>
        <v>11</v>
      </c>
      <c r="U601" t="str">
        <f t="shared" si="89"/>
        <v>Medium Profit</v>
      </c>
    </row>
    <row r="602" spans="1:21" x14ac:dyDescent="0.35">
      <c r="A602" s="5" t="s">
        <v>42</v>
      </c>
      <c r="B602" s="5" t="s">
        <v>249</v>
      </c>
      <c r="C602" t="s">
        <v>92</v>
      </c>
      <c r="D602" t="s">
        <v>820</v>
      </c>
      <c r="E602" t="s">
        <v>23</v>
      </c>
      <c r="F602" t="s">
        <v>32</v>
      </c>
      <c r="G602" s="3">
        <v>40891</v>
      </c>
      <c r="H602">
        <v>207395112</v>
      </c>
      <c r="I602" s="3">
        <v>40934</v>
      </c>
      <c r="J602">
        <v>1677</v>
      </c>
      <c r="K602">
        <v>421.89</v>
      </c>
      <c r="L602">
        <v>364.69</v>
      </c>
      <c r="M602">
        <f t="shared" si="81"/>
        <v>707509.53</v>
      </c>
      <c r="N602">
        <f t="shared" si="82"/>
        <v>611585.13</v>
      </c>
      <c r="O602">
        <f t="shared" si="83"/>
        <v>95924.400000000023</v>
      </c>
      <c r="P602" s="6">
        <f t="shared" si="84"/>
        <v>0.13558036455000122</v>
      </c>
      <c r="Q602">
        <f t="shared" si="85"/>
        <v>43</v>
      </c>
      <c r="R602">
        <f t="shared" si="86"/>
        <v>2011</v>
      </c>
      <c r="S602" t="str">
        <f t="shared" si="87"/>
        <v>December</v>
      </c>
      <c r="T602">
        <f t="shared" si="88"/>
        <v>12</v>
      </c>
      <c r="U602" t="str">
        <f t="shared" si="89"/>
        <v>Low Profit</v>
      </c>
    </row>
    <row r="603" spans="1:21" x14ac:dyDescent="0.35">
      <c r="A603" s="5" t="s">
        <v>42</v>
      </c>
      <c r="B603" s="5" t="s">
        <v>145</v>
      </c>
      <c r="C603" t="s">
        <v>27</v>
      </c>
      <c r="D603" t="s">
        <v>821</v>
      </c>
      <c r="E603" t="s">
        <v>23</v>
      </c>
      <c r="F603" t="s">
        <v>66</v>
      </c>
      <c r="G603" s="3">
        <v>41649</v>
      </c>
      <c r="H603">
        <v>952714908</v>
      </c>
      <c r="I603" s="3">
        <v>41695</v>
      </c>
      <c r="J603">
        <v>8367</v>
      </c>
      <c r="K603">
        <v>154.06</v>
      </c>
      <c r="L603">
        <v>90.93</v>
      </c>
      <c r="M603">
        <f t="shared" si="81"/>
        <v>1289020.02</v>
      </c>
      <c r="N603">
        <f t="shared" si="82"/>
        <v>760811.31</v>
      </c>
      <c r="O603">
        <f t="shared" si="83"/>
        <v>528208.71</v>
      </c>
      <c r="P603" s="6">
        <f t="shared" si="84"/>
        <v>0.40977541217707381</v>
      </c>
      <c r="Q603">
        <f t="shared" si="85"/>
        <v>46</v>
      </c>
      <c r="R603">
        <f t="shared" si="86"/>
        <v>2014</v>
      </c>
      <c r="S603" t="str">
        <f t="shared" si="87"/>
        <v>January</v>
      </c>
      <c r="T603">
        <f t="shared" si="88"/>
        <v>1</v>
      </c>
      <c r="U603" t="str">
        <f t="shared" si="89"/>
        <v>High Profit</v>
      </c>
    </row>
    <row r="604" spans="1:21" x14ac:dyDescent="0.35">
      <c r="A604" s="5" t="s">
        <v>42</v>
      </c>
      <c r="B604" s="5" t="s">
        <v>822</v>
      </c>
      <c r="C604" t="s">
        <v>27</v>
      </c>
      <c r="D604" t="s">
        <v>823</v>
      </c>
      <c r="E604" t="s">
        <v>29</v>
      </c>
      <c r="F604" t="s">
        <v>32</v>
      </c>
      <c r="G604" s="3">
        <v>40454</v>
      </c>
      <c r="H604">
        <v>694722020</v>
      </c>
      <c r="I604" s="3">
        <v>40454</v>
      </c>
      <c r="J604">
        <v>2539</v>
      </c>
      <c r="K604">
        <v>154.06</v>
      </c>
      <c r="L604">
        <v>90.93</v>
      </c>
      <c r="M604">
        <f t="shared" si="81"/>
        <v>391158.34</v>
      </c>
      <c r="N604">
        <f t="shared" si="82"/>
        <v>230871.27000000002</v>
      </c>
      <c r="O604">
        <f t="shared" si="83"/>
        <v>160287.07</v>
      </c>
      <c r="P604" s="6">
        <f t="shared" si="84"/>
        <v>0.40977541217707386</v>
      </c>
      <c r="Q604">
        <f t="shared" si="85"/>
        <v>0</v>
      </c>
      <c r="R604">
        <f t="shared" si="86"/>
        <v>2010</v>
      </c>
      <c r="S604" t="str">
        <f t="shared" si="87"/>
        <v>October</v>
      </c>
      <c r="T604">
        <f t="shared" si="88"/>
        <v>10</v>
      </c>
      <c r="U604" t="str">
        <f t="shared" si="89"/>
        <v>Medium Profit</v>
      </c>
    </row>
    <row r="605" spans="1:21" x14ac:dyDescent="0.35">
      <c r="A605" s="5" t="s">
        <v>42</v>
      </c>
      <c r="B605" s="5" t="s">
        <v>822</v>
      </c>
      <c r="C605" t="s">
        <v>60</v>
      </c>
      <c r="D605" t="s">
        <v>824</v>
      </c>
      <c r="E605" t="s">
        <v>29</v>
      </c>
      <c r="F605" t="s">
        <v>41</v>
      </c>
      <c r="G605" s="3">
        <v>42292</v>
      </c>
      <c r="H605">
        <v>414715278</v>
      </c>
      <c r="I605" s="3">
        <v>42312</v>
      </c>
      <c r="J605">
        <v>2321</v>
      </c>
      <c r="K605">
        <v>668.27</v>
      </c>
      <c r="L605">
        <v>502.54</v>
      </c>
      <c r="M605">
        <f t="shared" si="81"/>
        <v>1551054.67</v>
      </c>
      <c r="N605">
        <f t="shared" si="82"/>
        <v>1166395.3400000001</v>
      </c>
      <c r="O605">
        <f t="shared" si="83"/>
        <v>384659.32999999984</v>
      </c>
      <c r="P605" s="6">
        <f t="shared" si="84"/>
        <v>0.24799856345489091</v>
      </c>
      <c r="Q605">
        <f t="shared" si="85"/>
        <v>20</v>
      </c>
      <c r="R605">
        <f t="shared" si="86"/>
        <v>2015</v>
      </c>
      <c r="S605" t="str">
        <f t="shared" si="87"/>
        <v>October</v>
      </c>
      <c r="T605">
        <f t="shared" si="88"/>
        <v>10</v>
      </c>
      <c r="U605" t="str">
        <f t="shared" si="89"/>
        <v>Medium Profit</v>
      </c>
    </row>
    <row r="606" spans="1:21" x14ac:dyDescent="0.35">
      <c r="A606" s="5" t="s">
        <v>42</v>
      </c>
      <c r="B606" s="5" t="s">
        <v>273</v>
      </c>
      <c r="C606" t="s">
        <v>58</v>
      </c>
      <c r="D606" t="s">
        <v>825</v>
      </c>
      <c r="E606" t="s">
        <v>23</v>
      </c>
      <c r="F606" t="s">
        <v>24</v>
      </c>
      <c r="G606" s="3">
        <v>41475</v>
      </c>
      <c r="H606">
        <v>714306008</v>
      </c>
      <c r="I606" s="3">
        <v>41503</v>
      </c>
      <c r="J606">
        <v>7876</v>
      </c>
      <c r="K606">
        <v>152.58000000000001</v>
      </c>
      <c r="L606">
        <v>97.44</v>
      </c>
      <c r="M606">
        <f t="shared" si="81"/>
        <v>1201720.08</v>
      </c>
      <c r="N606">
        <f t="shared" si="82"/>
        <v>767437.44</v>
      </c>
      <c r="O606">
        <f t="shared" si="83"/>
        <v>434282.64000000013</v>
      </c>
      <c r="P606" s="6">
        <f t="shared" si="84"/>
        <v>0.36138419189933157</v>
      </c>
      <c r="Q606">
        <f t="shared" si="85"/>
        <v>28</v>
      </c>
      <c r="R606">
        <f t="shared" si="86"/>
        <v>2013</v>
      </c>
      <c r="S606" t="str">
        <f t="shared" si="87"/>
        <v>July</v>
      </c>
      <c r="T606">
        <f t="shared" si="88"/>
        <v>7</v>
      </c>
      <c r="U606" t="str">
        <f t="shared" si="89"/>
        <v>Medium Profit</v>
      </c>
    </row>
    <row r="607" spans="1:21" x14ac:dyDescent="0.35">
      <c r="A607" s="5" t="s">
        <v>19</v>
      </c>
      <c r="B607" s="5" t="s">
        <v>717</v>
      </c>
      <c r="C607" t="s">
        <v>58</v>
      </c>
      <c r="D607" t="s">
        <v>826</v>
      </c>
      <c r="E607" t="s">
        <v>29</v>
      </c>
      <c r="F607" t="s">
        <v>41</v>
      </c>
      <c r="G607" s="3">
        <v>42388</v>
      </c>
      <c r="H607">
        <v>465418040</v>
      </c>
      <c r="I607" s="3">
        <v>42426</v>
      </c>
      <c r="J607">
        <v>6396</v>
      </c>
      <c r="K607">
        <v>152.58000000000001</v>
      </c>
      <c r="L607">
        <v>97.44</v>
      </c>
      <c r="M607">
        <f t="shared" si="81"/>
        <v>975901.68</v>
      </c>
      <c r="N607">
        <f t="shared" si="82"/>
        <v>623226.24</v>
      </c>
      <c r="O607">
        <f t="shared" si="83"/>
        <v>352675.44000000006</v>
      </c>
      <c r="P607" s="6">
        <f t="shared" si="84"/>
        <v>0.36138419189933152</v>
      </c>
      <c r="Q607">
        <f t="shared" si="85"/>
        <v>38</v>
      </c>
      <c r="R607">
        <f t="shared" si="86"/>
        <v>2016</v>
      </c>
      <c r="S607" t="str">
        <f t="shared" si="87"/>
        <v>January</v>
      </c>
      <c r="T607">
        <f t="shared" si="88"/>
        <v>1</v>
      </c>
      <c r="U607" t="str">
        <f t="shared" si="89"/>
        <v>Medium Profit</v>
      </c>
    </row>
    <row r="608" spans="1:21" x14ac:dyDescent="0.35">
      <c r="A608" s="5" t="s">
        <v>37</v>
      </c>
      <c r="B608" s="5" t="s">
        <v>62</v>
      </c>
      <c r="C608" t="s">
        <v>35</v>
      </c>
      <c r="D608" t="s">
        <v>827</v>
      </c>
      <c r="E608" t="s">
        <v>29</v>
      </c>
      <c r="F608" t="s">
        <v>24</v>
      </c>
      <c r="G608" s="3">
        <v>41503</v>
      </c>
      <c r="H608">
        <v>860287702</v>
      </c>
      <c r="I608" s="3">
        <v>41528</v>
      </c>
      <c r="J608">
        <v>7103</v>
      </c>
      <c r="K608">
        <v>205.7</v>
      </c>
      <c r="L608">
        <v>117.11</v>
      </c>
      <c r="M608">
        <f t="shared" si="81"/>
        <v>1461087.0999999999</v>
      </c>
      <c r="N608">
        <f t="shared" si="82"/>
        <v>831832.33</v>
      </c>
      <c r="O608">
        <f t="shared" si="83"/>
        <v>629254.7699999999</v>
      </c>
      <c r="P608" s="6">
        <f t="shared" si="84"/>
        <v>0.43067574137092851</v>
      </c>
      <c r="Q608">
        <f t="shared" si="85"/>
        <v>25</v>
      </c>
      <c r="R608">
        <f t="shared" si="86"/>
        <v>2013</v>
      </c>
      <c r="S608" t="str">
        <f t="shared" si="87"/>
        <v>August</v>
      </c>
      <c r="T608">
        <f t="shared" si="88"/>
        <v>8</v>
      </c>
      <c r="U608" t="str">
        <f t="shared" si="89"/>
        <v>High Profit</v>
      </c>
    </row>
    <row r="609" spans="1:21" x14ac:dyDescent="0.35">
      <c r="A609" s="5" t="s">
        <v>19</v>
      </c>
      <c r="B609" s="5" t="s">
        <v>510</v>
      </c>
      <c r="C609" t="s">
        <v>27</v>
      </c>
      <c r="D609" t="s">
        <v>828</v>
      </c>
      <c r="E609" t="s">
        <v>29</v>
      </c>
      <c r="F609" t="s">
        <v>32</v>
      </c>
      <c r="G609" s="3">
        <v>42598</v>
      </c>
      <c r="H609">
        <v>461463820</v>
      </c>
      <c r="I609" s="3">
        <v>42602</v>
      </c>
      <c r="J609">
        <v>6254</v>
      </c>
      <c r="K609">
        <v>154.06</v>
      </c>
      <c r="L609">
        <v>90.93</v>
      </c>
      <c r="M609">
        <f t="shared" si="81"/>
        <v>963491.24</v>
      </c>
      <c r="N609">
        <f t="shared" si="82"/>
        <v>568676.22000000009</v>
      </c>
      <c r="O609">
        <f t="shared" si="83"/>
        <v>394815.0199999999</v>
      </c>
      <c r="P609" s="6">
        <f t="shared" si="84"/>
        <v>0.40977541217707375</v>
      </c>
      <c r="Q609">
        <f t="shared" si="85"/>
        <v>4</v>
      </c>
      <c r="R609">
        <f t="shared" si="86"/>
        <v>2016</v>
      </c>
      <c r="S609" t="str">
        <f t="shared" si="87"/>
        <v>August</v>
      </c>
      <c r="T609">
        <f t="shared" si="88"/>
        <v>8</v>
      </c>
      <c r="U609" t="str">
        <f t="shared" si="89"/>
        <v>Medium Profit</v>
      </c>
    </row>
    <row r="610" spans="1:21" x14ac:dyDescent="0.35">
      <c r="A610" s="5" t="s">
        <v>37</v>
      </c>
      <c r="B610" s="5" t="s">
        <v>107</v>
      </c>
      <c r="C610" t="s">
        <v>30</v>
      </c>
      <c r="D610" t="s">
        <v>829</v>
      </c>
      <c r="E610" t="s">
        <v>23</v>
      </c>
      <c r="F610" t="s">
        <v>24</v>
      </c>
      <c r="G610" s="3">
        <v>41542</v>
      </c>
      <c r="H610">
        <v>151807725</v>
      </c>
      <c r="I610" s="3">
        <v>41546</v>
      </c>
      <c r="J610">
        <v>2134</v>
      </c>
      <c r="K610">
        <v>255.28</v>
      </c>
      <c r="L610">
        <v>159.41999999999999</v>
      </c>
      <c r="M610">
        <f t="shared" si="81"/>
        <v>544767.52</v>
      </c>
      <c r="N610">
        <f t="shared" si="82"/>
        <v>340202.27999999997</v>
      </c>
      <c r="O610">
        <f t="shared" si="83"/>
        <v>204565.24000000005</v>
      </c>
      <c r="P610" s="6">
        <f t="shared" si="84"/>
        <v>0.37550924475086189</v>
      </c>
      <c r="Q610">
        <f t="shared" si="85"/>
        <v>4</v>
      </c>
      <c r="R610">
        <f t="shared" si="86"/>
        <v>2013</v>
      </c>
      <c r="S610" t="str">
        <f t="shared" si="87"/>
        <v>September</v>
      </c>
      <c r="T610">
        <f t="shared" si="88"/>
        <v>9</v>
      </c>
      <c r="U610" t="str">
        <f t="shared" si="89"/>
        <v>Medium Profit</v>
      </c>
    </row>
    <row r="611" spans="1:21" x14ac:dyDescent="0.35">
      <c r="A611" s="5" t="s">
        <v>37</v>
      </c>
      <c r="B611" s="5" t="s">
        <v>193</v>
      </c>
      <c r="C611" t="s">
        <v>92</v>
      </c>
      <c r="D611" t="s">
        <v>830</v>
      </c>
      <c r="E611" t="s">
        <v>23</v>
      </c>
      <c r="F611" t="s">
        <v>32</v>
      </c>
      <c r="G611" s="3">
        <v>41507</v>
      </c>
      <c r="H611">
        <v>884493243</v>
      </c>
      <c r="I611" s="3">
        <v>41549</v>
      </c>
      <c r="J611">
        <v>61</v>
      </c>
      <c r="K611">
        <v>421.89</v>
      </c>
      <c r="L611">
        <v>364.69</v>
      </c>
      <c r="M611">
        <f t="shared" si="81"/>
        <v>25735.29</v>
      </c>
      <c r="N611">
        <f t="shared" si="82"/>
        <v>22246.09</v>
      </c>
      <c r="O611">
        <f t="shared" si="83"/>
        <v>3489.2000000000007</v>
      </c>
      <c r="P611" s="6">
        <f t="shared" si="84"/>
        <v>0.13558036455000122</v>
      </c>
      <c r="Q611">
        <f t="shared" si="85"/>
        <v>42</v>
      </c>
      <c r="R611">
        <f t="shared" si="86"/>
        <v>2013</v>
      </c>
      <c r="S611" t="str">
        <f t="shared" si="87"/>
        <v>August</v>
      </c>
      <c r="T611">
        <f t="shared" si="88"/>
        <v>8</v>
      </c>
      <c r="U611" t="str">
        <f t="shared" si="89"/>
        <v>Low Profit</v>
      </c>
    </row>
    <row r="612" spans="1:21" x14ac:dyDescent="0.35">
      <c r="A612" s="5" t="s">
        <v>33</v>
      </c>
      <c r="B612" s="5" t="s">
        <v>636</v>
      </c>
      <c r="C612" t="s">
        <v>21</v>
      </c>
      <c r="D612" t="s">
        <v>831</v>
      </c>
      <c r="E612" t="s">
        <v>23</v>
      </c>
      <c r="F612" t="s">
        <v>24</v>
      </c>
      <c r="G612" s="3">
        <v>40522</v>
      </c>
      <c r="H612">
        <v>533006703</v>
      </c>
      <c r="I612" s="3">
        <v>40566</v>
      </c>
      <c r="J612">
        <v>7383</v>
      </c>
      <c r="K612">
        <v>437.2</v>
      </c>
      <c r="L612">
        <v>263.33</v>
      </c>
      <c r="M612">
        <f t="shared" si="81"/>
        <v>3227847.6</v>
      </c>
      <c r="N612">
        <f t="shared" si="82"/>
        <v>1944165.39</v>
      </c>
      <c r="O612">
        <f t="shared" si="83"/>
        <v>1283682.2100000002</v>
      </c>
      <c r="P612" s="6">
        <f t="shared" si="84"/>
        <v>0.3976898444647759</v>
      </c>
      <c r="Q612">
        <f t="shared" si="85"/>
        <v>44</v>
      </c>
      <c r="R612">
        <f t="shared" si="86"/>
        <v>2010</v>
      </c>
      <c r="S612" t="str">
        <f t="shared" si="87"/>
        <v>December</v>
      </c>
      <c r="T612">
        <f t="shared" si="88"/>
        <v>12</v>
      </c>
      <c r="U612" t="str">
        <f t="shared" si="89"/>
        <v>High Profit</v>
      </c>
    </row>
    <row r="613" spans="1:21" x14ac:dyDescent="0.35">
      <c r="A613" s="5" t="s">
        <v>37</v>
      </c>
      <c r="B613" s="5" t="s">
        <v>120</v>
      </c>
      <c r="C613" t="s">
        <v>27</v>
      </c>
      <c r="D613" t="s">
        <v>832</v>
      </c>
      <c r="E613" t="s">
        <v>29</v>
      </c>
      <c r="F613" t="s">
        <v>32</v>
      </c>
      <c r="G613" s="3">
        <v>41156</v>
      </c>
      <c r="H613">
        <v>641146934</v>
      </c>
      <c r="I613" s="3">
        <v>41186</v>
      </c>
      <c r="J613">
        <v>8480</v>
      </c>
      <c r="K613">
        <v>154.06</v>
      </c>
      <c r="L613">
        <v>90.93</v>
      </c>
      <c r="M613">
        <f t="shared" si="81"/>
        <v>1306428.8</v>
      </c>
      <c r="N613">
        <f t="shared" si="82"/>
        <v>771086.4</v>
      </c>
      <c r="O613">
        <f t="shared" si="83"/>
        <v>535342.4</v>
      </c>
      <c r="P613" s="6">
        <f t="shared" si="84"/>
        <v>0.40977541217707386</v>
      </c>
      <c r="Q613">
        <f t="shared" si="85"/>
        <v>30</v>
      </c>
      <c r="R613">
        <f t="shared" si="86"/>
        <v>2012</v>
      </c>
      <c r="S613" t="str">
        <f t="shared" si="87"/>
        <v>September</v>
      </c>
      <c r="T613">
        <f t="shared" si="88"/>
        <v>9</v>
      </c>
      <c r="U613" t="str">
        <f t="shared" si="89"/>
        <v>High Profit</v>
      </c>
    </row>
    <row r="614" spans="1:21" x14ac:dyDescent="0.35">
      <c r="A614" s="5" t="s">
        <v>33</v>
      </c>
      <c r="B614" s="5" t="s">
        <v>64</v>
      </c>
      <c r="C614" t="s">
        <v>21</v>
      </c>
      <c r="D614" t="s">
        <v>833</v>
      </c>
      <c r="E614" t="s">
        <v>23</v>
      </c>
      <c r="F614" t="s">
        <v>24</v>
      </c>
      <c r="G614" s="3">
        <v>40831</v>
      </c>
      <c r="H614">
        <v>573025262</v>
      </c>
      <c r="I614" s="3">
        <v>40861</v>
      </c>
      <c r="J614">
        <v>9764</v>
      </c>
      <c r="K614">
        <v>437.2</v>
      </c>
      <c r="L614">
        <v>263.33</v>
      </c>
      <c r="M614">
        <f t="shared" si="81"/>
        <v>4268820.8</v>
      </c>
      <c r="N614">
        <f t="shared" si="82"/>
        <v>2571154.1199999996</v>
      </c>
      <c r="O614">
        <f t="shared" si="83"/>
        <v>1697666.6800000002</v>
      </c>
      <c r="P614" s="6">
        <f t="shared" si="84"/>
        <v>0.3976898444647759</v>
      </c>
      <c r="Q614">
        <f t="shared" si="85"/>
        <v>30</v>
      </c>
      <c r="R614">
        <f t="shared" si="86"/>
        <v>2011</v>
      </c>
      <c r="S614" t="str">
        <f t="shared" si="87"/>
        <v>October</v>
      </c>
      <c r="T614">
        <f t="shared" si="88"/>
        <v>10</v>
      </c>
      <c r="U614" t="str">
        <f t="shared" si="89"/>
        <v>High Profit</v>
      </c>
    </row>
    <row r="615" spans="1:21" x14ac:dyDescent="0.35">
      <c r="A615" s="5" t="s">
        <v>37</v>
      </c>
      <c r="B615" s="5" t="s">
        <v>466</v>
      </c>
      <c r="C615" t="s">
        <v>60</v>
      </c>
      <c r="D615" t="s">
        <v>834</v>
      </c>
      <c r="E615" t="s">
        <v>23</v>
      </c>
      <c r="F615" t="s">
        <v>32</v>
      </c>
      <c r="G615" s="3">
        <v>41512</v>
      </c>
      <c r="H615">
        <v>663065516</v>
      </c>
      <c r="I615" s="3">
        <v>41526</v>
      </c>
      <c r="J615">
        <v>4676</v>
      </c>
      <c r="K615">
        <v>668.27</v>
      </c>
      <c r="L615">
        <v>502.54</v>
      </c>
      <c r="M615">
        <f t="shared" si="81"/>
        <v>3124830.52</v>
      </c>
      <c r="N615">
        <f t="shared" si="82"/>
        <v>2349877.04</v>
      </c>
      <c r="O615">
        <f t="shared" si="83"/>
        <v>774953.48</v>
      </c>
      <c r="P615" s="6">
        <f t="shared" si="84"/>
        <v>0.24799856345489099</v>
      </c>
      <c r="Q615">
        <f t="shared" si="85"/>
        <v>14</v>
      </c>
      <c r="R615">
        <f t="shared" si="86"/>
        <v>2013</v>
      </c>
      <c r="S615" t="str">
        <f t="shared" si="87"/>
        <v>August</v>
      </c>
      <c r="T615">
        <f t="shared" si="88"/>
        <v>8</v>
      </c>
      <c r="U615" t="str">
        <f t="shared" si="89"/>
        <v>High Profit</v>
      </c>
    </row>
    <row r="616" spans="1:21" x14ac:dyDescent="0.35">
      <c r="A616" s="5" t="s">
        <v>33</v>
      </c>
      <c r="B616" s="5" t="s">
        <v>497</v>
      </c>
      <c r="C616" t="s">
        <v>72</v>
      </c>
      <c r="D616" t="s">
        <v>835</v>
      </c>
      <c r="E616" t="s">
        <v>29</v>
      </c>
      <c r="F616" t="s">
        <v>24</v>
      </c>
      <c r="G616" s="3">
        <v>42783</v>
      </c>
      <c r="H616">
        <v>866004025</v>
      </c>
      <c r="I616" s="3">
        <v>42798</v>
      </c>
      <c r="J616">
        <v>8691</v>
      </c>
      <c r="K616">
        <v>47.45</v>
      </c>
      <c r="L616">
        <v>31.79</v>
      </c>
      <c r="M616">
        <f t="shared" si="81"/>
        <v>412387.95</v>
      </c>
      <c r="N616">
        <f t="shared" si="82"/>
        <v>276286.89</v>
      </c>
      <c r="O616">
        <f t="shared" si="83"/>
        <v>136101.06</v>
      </c>
      <c r="P616" s="6">
        <f t="shared" si="84"/>
        <v>0.33003161222339306</v>
      </c>
      <c r="Q616">
        <f t="shared" si="85"/>
        <v>15</v>
      </c>
      <c r="R616">
        <f t="shared" si="86"/>
        <v>2017</v>
      </c>
      <c r="S616" t="str">
        <f t="shared" si="87"/>
        <v>February</v>
      </c>
      <c r="T616">
        <f t="shared" si="88"/>
        <v>2</v>
      </c>
      <c r="U616" t="str">
        <f t="shared" si="89"/>
        <v>Medium Profit</v>
      </c>
    </row>
    <row r="617" spans="1:21" x14ac:dyDescent="0.35">
      <c r="A617" s="5" t="s">
        <v>33</v>
      </c>
      <c r="B617" s="5" t="s">
        <v>836</v>
      </c>
      <c r="C617" t="s">
        <v>30</v>
      </c>
      <c r="D617" t="s">
        <v>837</v>
      </c>
      <c r="E617" t="s">
        <v>29</v>
      </c>
      <c r="F617" t="s">
        <v>41</v>
      </c>
      <c r="G617" s="3">
        <v>40470</v>
      </c>
      <c r="H617">
        <v>306889617</v>
      </c>
      <c r="I617" s="3">
        <v>40472</v>
      </c>
      <c r="J617">
        <v>4312</v>
      </c>
      <c r="K617">
        <v>255.28</v>
      </c>
      <c r="L617">
        <v>159.41999999999999</v>
      </c>
      <c r="M617">
        <f t="shared" si="81"/>
        <v>1100767.3600000001</v>
      </c>
      <c r="N617">
        <f t="shared" si="82"/>
        <v>687419.03999999992</v>
      </c>
      <c r="O617">
        <f t="shared" si="83"/>
        <v>413348.32000000018</v>
      </c>
      <c r="P617" s="6">
        <f t="shared" si="84"/>
        <v>0.37550924475086195</v>
      </c>
      <c r="Q617">
        <f t="shared" si="85"/>
        <v>2</v>
      </c>
      <c r="R617">
        <f t="shared" si="86"/>
        <v>2010</v>
      </c>
      <c r="S617" t="str">
        <f t="shared" si="87"/>
        <v>October</v>
      </c>
      <c r="T617">
        <f t="shared" si="88"/>
        <v>10</v>
      </c>
      <c r="U617" t="str">
        <f t="shared" si="89"/>
        <v>Medium Profit</v>
      </c>
    </row>
    <row r="618" spans="1:21" x14ac:dyDescent="0.35">
      <c r="A618" s="5" t="s">
        <v>42</v>
      </c>
      <c r="B618" s="5" t="s">
        <v>47</v>
      </c>
      <c r="C618" t="s">
        <v>83</v>
      </c>
      <c r="D618" t="s">
        <v>838</v>
      </c>
      <c r="E618" t="s">
        <v>29</v>
      </c>
      <c r="F618" t="s">
        <v>24</v>
      </c>
      <c r="G618" s="3">
        <v>41850</v>
      </c>
      <c r="H618">
        <v>431083619</v>
      </c>
      <c r="I618" s="3">
        <v>41861</v>
      </c>
      <c r="J618">
        <v>6077</v>
      </c>
      <c r="K618">
        <v>81.73</v>
      </c>
      <c r="L618">
        <v>56.67</v>
      </c>
      <c r="M618">
        <f t="shared" si="81"/>
        <v>496673.21</v>
      </c>
      <c r="N618">
        <f t="shared" si="82"/>
        <v>344383.59</v>
      </c>
      <c r="O618">
        <f t="shared" si="83"/>
        <v>152289.62</v>
      </c>
      <c r="P618" s="6">
        <f t="shared" si="84"/>
        <v>0.30661935641747212</v>
      </c>
      <c r="Q618">
        <f t="shared" si="85"/>
        <v>11</v>
      </c>
      <c r="R618">
        <f t="shared" si="86"/>
        <v>2014</v>
      </c>
      <c r="S618" t="str">
        <f t="shared" si="87"/>
        <v>July</v>
      </c>
      <c r="T618">
        <f t="shared" si="88"/>
        <v>7</v>
      </c>
      <c r="U618" t="str">
        <f t="shared" si="89"/>
        <v>Medium Profit</v>
      </c>
    </row>
    <row r="619" spans="1:21" x14ac:dyDescent="0.35">
      <c r="A619" s="5" t="s">
        <v>19</v>
      </c>
      <c r="B619" s="5" t="s">
        <v>229</v>
      </c>
      <c r="C619" t="s">
        <v>83</v>
      </c>
      <c r="D619" t="s">
        <v>839</v>
      </c>
      <c r="E619" t="s">
        <v>29</v>
      </c>
      <c r="F619" t="s">
        <v>41</v>
      </c>
      <c r="G619" s="3">
        <v>42145</v>
      </c>
      <c r="H619">
        <v>954259860</v>
      </c>
      <c r="I619" s="3">
        <v>42159</v>
      </c>
      <c r="J619">
        <v>5553</v>
      </c>
      <c r="K619">
        <v>81.73</v>
      </c>
      <c r="L619">
        <v>56.67</v>
      </c>
      <c r="M619">
        <f t="shared" si="81"/>
        <v>453846.69</v>
      </c>
      <c r="N619">
        <f t="shared" si="82"/>
        <v>314688.51</v>
      </c>
      <c r="O619">
        <f t="shared" si="83"/>
        <v>139158.18</v>
      </c>
      <c r="P619" s="6">
        <f t="shared" si="84"/>
        <v>0.30661935641747212</v>
      </c>
      <c r="Q619">
        <f t="shared" si="85"/>
        <v>14</v>
      </c>
      <c r="R619">
        <f t="shared" si="86"/>
        <v>2015</v>
      </c>
      <c r="S619" t="str">
        <f t="shared" si="87"/>
        <v>May</v>
      </c>
      <c r="T619">
        <f t="shared" si="88"/>
        <v>5</v>
      </c>
      <c r="U619" t="str">
        <f t="shared" si="89"/>
        <v>Medium Profit</v>
      </c>
    </row>
    <row r="620" spans="1:21" x14ac:dyDescent="0.35">
      <c r="A620" s="5" t="s">
        <v>50</v>
      </c>
      <c r="B620" s="5" t="s">
        <v>456</v>
      </c>
      <c r="C620" t="s">
        <v>83</v>
      </c>
      <c r="D620" t="s">
        <v>840</v>
      </c>
      <c r="E620" t="s">
        <v>23</v>
      </c>
      <c r="F620" t="s">
        <v>32</v>
      </c>
      <c r="G620" s="3">
        <v>42495</v>
      </c>
      <c r="H620">
        <v>312404668</v>
      </c>
      <c r="I620" s="3">
        <v>42542</v>
      </c>
      <c r="J620">
        <v>6338</v>
      </c>
      <c r="K620">
        <v>81.73</v>
      </c>
      <c r="L620">
        <v>56.67</v>
      </c>
      <c r="M620">
        <f t="shared" si="81"/>
        <v>518004.74000000005</v>
      </c>
      <c r="N620">
        <f t="shared" si="82"/>
        <v>359174.46</v>
      </c>
      <c r="O620">
        <f t="shared" si="83"/>
        <v>158830.28000000003</v>
      </c>
      <c r="P620" s="6">
        <f t="shared" si="84"/>
        <v>0.30661935641747218</v>
      </c>
      <c r="Q620">
        <f t="shared" si="85"/>
        <v>47</v>
      </c>
      <c r="R620">
        <f t="shared" si="86"/>
        <v>2016</v>
      </c>
      <c r="S620" t="str">
        <f t="shared" si="87"/>
        <v>May</v>
      </c>
      <c r="T620">
        <f t="shared" si="88"/>
        <v>5</v>
      </c>
      <c r="U620" t="str">
        <f t="shared" si="89"/>
        <v>Medium Profit</v>
      </c>
    </row>
    <row r="621" spans="1:21" x14ac:dyDescent="0.35">
      <c r="A621" s="5" t="s">
        <v>37</v>
      </c>
      <c r="B621" s="5" t="s">
        <v>416</v>
      </c>
      <c r="C621" t="s">
        <v>69</v>
      </c>
      <c r="D621" t="s">
        <v>841</v>
      </c>
      <c r="E621" t="s">
        <v>23</v>
      </c>
      <c r="F621" t="s">
        <v>32</v>
      </c>
      <c r="G621" s="3">
        <v>40282</v>
      </c>
      <c r="H621">
        <v>611816871</v>
      </c>
      <c r="I621" s="3">
        <v>40314</v>
      </c>
      <c r="J621">
        <v>9063</v>
      </c>
      <c r="K621">
        <v>651.21</v>
      </c>
      <c r="L621">
        <v>524.96</v>
      </c>
      <c r="M621">
        <f t="shared" si="81"/>
        <v>5901916.2300000004</v>
      </c>
      <c r="N621">
        <f t="shared" si="82"/>
        <v>4757712.4800000004</v>
      </c>
      <c r="O621">
        <f t="shared" si="83"/>
        <v>1144203.75</v>
      </c>
      <c r="P621" s="6">
        <f t="shared" si="84"/>
        <v>0.19386987300563566</v>
      </c>
      <c r="Q621">
        <f t="shared" si="85"/>
        <v>32</v>
      </c>
      <c r="R621">
        <f t="shared" si="86"/>
        <v>2010</v>
      </c>
      <c r="S621" t="str">
        <f t="shared" si="87"/>
        <v>April</v>
      </c>
      <c r="T621">
        <f t="shared" si="88"/>
        <v>4</v>
      </c>
      <c r="U621" t="str">
        <f t="shared" si="89"/>
        <v>High Profit</v>
      </c>
    </row>
    <row r="622" spans="1:21" x14ac:dyDescent="0.35">
      <c r="A622" s="5" t="s">
        <v>42</v>
      </c>
      <c r="B622" s="5" t="s">
        <v>174</v>
      </c>
      <c r="C622" t="s">
        <v>69</v>
      </c>
      <c r="D622" t="s">
        <v>842</v>
      </c>
      <c r="E622" t="s">
        <v>29</v>
      </c>
      <c r="F622" t="s">
        <v>32</v>
      </c>
      <c r="G622" s="3">
        <v>41573</v>
      </c>
      <c r="H622">
        <v>879107797</v>
      </c>
      <c r="I622" s="3">
        <v>41580</v>
      </c>
      <c r="J622">
        <v>6388</v>
      </c>
      <c r="K622">
        <v>651.21</v>
      </c>
      <c r="L622">
        <v>524.96</v>
      </c>
      <c r="M622">
        <f t="shared" si="81"/>
        <v>4159929.4800000004</v>
      </c>
      <c r="N622">
        <f t="shared" si="82"/>
        <v>3353444.4800000004</v>
      </c>
      <c r="O622">
        <f t="shared" si="83"/>
        <v>806485</v>
      </c>
      <c r="P622" s="6">
        <f t="shared" si="84"/>
        <v>0.19386987300563563</v>
      </c>
      <c r="Q622">
        <f t="shared" si="85"/>
        <v>7</v>
      </c>
      <c r="R622">
        <f t="shared" si="86"/>
        <v>2013</v>
      </c>
      <c r="S622" t="str">
        <f t="shared" si="87"/>
        <v>October</v>
      </c>
      <c r="T622">
        <f t="shared" si="88"/>
        <v>10</v>
      </c>
      <c r="U622" t="str">
        <f t="shared" si="89"/>
        <v>High Profit</v>
      </c>
    </row>
    <row r="623" spans="1:21" x14ac:dyDescent="0.35">
      <c r="A623" s="5" t="s">
        <v>37</v>
      </c>
      <c r="B623" s="5" t="s">
        <v>336</v>
      </c>
      <c r="C623" t="s">
        <v>27</v>
      </c>
      <c r="D623" t="s">
        <v>843</v>
      </c>
      <c r="E623" t="s">
        <v>23</v>
      </c>
      <c r="F623" t="s">
        <v>32</v>
      </c>
      <c r="G623" s="3">
        <v>40380</v>
      </c>
      <c r="H623">
        <v>211201274</v>
      </c>
      <c r="I623" s="3">
        <v>40430</v>
      </c>
      <c r="J623">
        <v>8005</v>
      </c>
      <c r="K623">
        <v>154.06</v>
      </c>
      <c r="L623">
        <v>90.93</v>
      </c>
      <c r="M623">
        <f t="shared" si="81"/>
        <v>1233250.3</v>
      </c>
      <c r="N623">
        <f t="shared" si="82"/>
        <v>727894.65</v>
      </c>
      <c r="O623">
        <f t="shared" si="83"/>
        <v>505355.65</v>
      </c>
      <c r="P623" s="6">
        <f t="shared" si="84"/>
        <v>0.40977541217707386</v>
      </c>
      <c r="Q623">
        <f t="shared" si="85"/>
        <v>50</v>
      </c>
      <c r="R623">
        <f t="shared" si="86"/>
        <v>2010</v>
      </c>
      <c r="S623" t="str">
        <f t="shared" si="87"/>
        <v>July</v>
      </c>
      <c r="T623">
        <f t="shared" si="88"/>
        <v>7</v>
      </c>
      <c r="U623" t="str">
        <f t="shared" si="89"/>
        <v>High Profit</v>
      </c>
    </row>
    <row r="624" spans="1:21" x14ac:dyDescent="0.35">
      <c r="A624" s="5" t="s">
        <v>37</v>
      </c>
      <c r="B624" s="5" t="s">
        <v>193</v>
      </c>
      <c r="C624" t="s">
        <v>39</v>
      </c>
      <c r="D624" t="s">
        <v>844</v>
      </c>
      <c r="E624" t="s">
        <v>29</v>
      </c>
      <c r="F624" t="s">
        <v>41</v>
      </c>
      <c r="G624" s="3">
        <v>42164</v>
      </c>
      <c r="H624">
        <v>925333631</v>
      </c>
      <c r="I624" s="3">
        <v>42210</v>
      </c>
      <c r="J624">
        <v>5639</v>
      </c>
      <c r="K624">
        <v>9.33</v>
      </c>
      <c r="L624">
        <v>6.92</v>
      </c>
      <c r="M624">
        <f t="shared" si="81"/>
        <v>52611.87</v>
      </c>
      <c r="N624">
        <f t="shared" si="82"/>
        <v>39021.879999999997</v>
      </c>
      <c r="O624">
        <f t="shared" si="83"/>
        <v>13589.990000000005</v>
      </c>
      <c r="P624" s="6">
        <f t="shared" si="84"/>
        <v>0.25830653804930342</v>
      </c>
      <c r="Q624">
        <f t="shared" si="85"/>
        <v>46</v>
      </c>
      <c r="R624">
        <f t="shared" si="86"/>
        <v>2015</v>
      </c>
      <c r="S624" t="str">
        <f t="shared" si="87"/>
        <v>June</v>
      </c>
      <c r="T624">
        <f t="shared" si="88"/>
        <v>6</v>
      </c>
      <c r="U624" t="str">
        <f t="shared" si="89"/>
        <v>Low Profit</v>
      </c>
    </row>
    <row r="625" spans="1:21" x14ac:dyDescent="0.35">
      <c r="A625" s="5" t="s">
        <v>42</v>
      </c>
      <c r="B625" s="5" t="s">
        <v>312</v>
      </c>
      <c r="C625" t="s">
        <v>58</v>
      </c>
      <c r="D625" t="s">
        <v>845</v>
      </c>
      <c r="E625" t="s">
        <v>23</v>
      </c>
      <c r="F625" t="s">
        <v>32</v>
      </c>
      <c r="G625" s="3">
        <v>40332</v>
      </c>
      <c r="H625">
        <v>909053695</v>
      </c>
      <c r="I625" s="3">
        <v>40356</v>
      </c>
      <c r="J625">
        <v>8044</v>
      </c>
      <c r="K625">
        <v>152.58000000000001</v>
      </c>
      <c r="L625">
        <v>97.44</v>
      </c>
      <c r="M625">
        <f t="shared" si="81"/>
        <v>1227353.52</v>
      </c>
      <c r="N625">
        <f t="shared" si="82"/>
        <v>783807.36</v>
      </c>
      <c r="O625">
        <f t="shared" si="83"/>
        <v>443546.16000000003</v>
      </c>
      <c r="P625" s="6">
        <f t="shared" si="84"/>
        <v>0.36138419189933152</v>
      </c>
      <c r="Q625">
        <f t="shared" si="85"/>
        <v>24</v>
      </c>
      <c r="R625">
        <f t="shared" si="86"/>
        <v>2010</v>
      </c>
      <c r="S625" t="str">
        <f t="shared" si="87"/>
        <v>June</v>
      </c>
      <c r="T625">
        <f t="shared" si="88"/>
        <v>6</v>
      </c>
      <c r="U625" t="str">
        <f t="shared" si="89"/>
        <v>Medium Profit</v>
      </c>
    </row>
    <row r="626" spans="1:21" x14ac:dyDescent="0.35">
      <c r="A626" s="5" t="s">
        <v>42</v>
      </c>
      <c r="B626" s="5" t="s">
        <v>113</v>
      </c>
      <c r="C626" t="s">
        <v>30</v>
      </c>
      <c r="D626" t="s">
        <v>846</v>
      </c>
      <c r="E626" t="s">
        <v>29</v>
      </c>
      <c r="F626" t="s">
        <v>66</v>
      </c>
      <c r="G626" s="3">
        <v>42507</v>
      </c>
      <c r="H626">
        <v>370222795</v>
      </c>
      <c r="I626" s="3">
        <v>42532</v>
      </c>
      <c r="J626">
        <v>6007</v>
      </c>
      <c r="K626">
        <v>255.28</v>
      </c>
      <c r="L626">
        <v>159.41999999999999</v>
      </c>
      <c r="M626">
        <f t="shared" si="81"/>
        <v>1533466.96</v>
      </c>
      <c r="N626">
        <f t="shared" si="82"/>
        <v>957635.94</v>
      </c>
      <c r="O626">
        <f t="shared" si="83"/>
        <v>575831.02</v>
      </c>
      <c r="P626" s="6">
        <f t="shared" si="84"/>
        <v>0.37550924475086184</v>
      </c>
      <c r="Q626">
        <f t="shared" si="85"/>
        <v>25</v>
      </c>
      <c r="R626">
        <f t="shared" si="86"/>
        <v>2016</v>
      </c>
      <c r="S626" t="str">
        <f t="shared" si="87"/>
        <v>May</v>
      </c>
      <c r="T626">
        <f t="shared" si="88"/>
        <v>5</v>
      </c>
      <c r="U626" t="str">
        <f t="shared" si="89"/>
        <v>High Profit</v>
      </c>
    </row>
    <row r="627" spans="1:21" x14ac:dyDescent="0.35">
      <c r="A627" s="5" t="s">
        <v>37</v>
      </c>
      <c r="B627" s="5" t="s">
        <v>178</v>
      </c>
      <c r="C627" t="s">
        <v>21</v>
      </c>
      <c r="D627" t="s">
        <v>847</v>
      </c>
      <c r="E627" t="s">
        <v>23</v>
      </c>
      <c r="F627" t="s">
        <v>41</v>
      </c>
      <c r="G627" s="3">
        <v>41489</v>
      </c>
      <c r="H627">
        <v>487014758</v>
      </c>
      <c r="I627" s="3">
        <v>41516</v>
      </c>
      <c r="J627">
        <v>7344</v>
      </c>
      <c r="K627">
        <v>437.2</v>
      </c>
      <c r="L627">
        <v>263.33</v>
      </c>
      <c r="M627">
        <f t="shared" si="81"/>
        <v>3210796.8</v>
      </c>
      <c r="N627">
        <f t="shared" si="82"/>
        <v>1933895.5199999998</v>
      </c>
      <c r="O627">
        <f t="shared" si="83"/>
        <v>1276901.28</v>
      </c>
      <c r="P627" s="6">
        <f t="shared" si="84"/>
        <v>0.3976898444647759</v>
      </c>
      <c r="Q627">
        <f t="shared" si="85"/>
        <v>27</v>
      </c>
      <c r="R627">
        <f t="shared" si="86"/>
        <v>2013</v>
      </c>
      <c r="S627" t="str">
        <f t="shared" si="87"/>
        <v>August</v>
      </c>
      <c r="T627">
        <f t="shared" si="88"/>
        <v>8</v>
      </c>
      <c r="U627" t="str">
        <f t="shared" si="89"/>
        <v>High Profit</v>
      </c>
    </row>
    <row r="628" spans="1:21" x14ac:dyDescent="0.35">
      <c r="A628" s="5" t="s">
        <v>42</v>
      </c>
      <c r="B628" s="5" t="s">
        <v>361</v>
      </c>
      <c r="C628" t="s">
        <v>27</v>
      </c>
      <c r="D628" t="s">
        <v>848</v>
      </c>
      <c r="E628" t="s">
        <v>29</v>
      </c>
      <c r="F628" t="s">
        <v>24</v>
      </c>
      <c r="G628" s="3">
        <v>41532</v>
      </c>
      <c r="H628">
        <v>257915914</v>
      </c>
      <c r="I628" s="3">
        <v>41553</v>
      </c>
      <c r="J628">
        <v>1905</v>
      </c>
      <c r="K628">
        <v>154.06</v>
      </c>
      <c r="L628">
        <v>90.93</v>
      </c>
      <c r="M628">
        <f t="shared" si="81"/>
        <v>293484.3</v>
      </c>
      <c r="N628">
        <f t="shared" si="82"/>
        <v>173221.65000000002</v>
      </c>
      <c r="O628">
        <f t="shared" si="83"/>
        <v>120262.64999999997</v>
      </c>
      <c r="P628" s="6">
        <f t="shared" si="84"/>
        <v>0.40977541217707375</v>
      </c>
      <c r="Q628">
        <f t="shared" si="85"/>
        <v>21</v>
      </c>
      <c r="R628">
        <f t="shared" si="86"/>
        <v>2013</v>
      </c>
      <c r="S628" t="str">
        <f t="shared" si="87"/>
        <v>September</v>
      </c>
      <c r="T628">
        <f t="shared" si="88"/>
        <v>9</v>
      </c>
      <c r="U628" t="str">
        <f t="shared" si="89"/>
        <v>Medium Profit</v>
      </c>
    </row>
    <row r="629" spans="1:21" x14ac:dyDescent="0.35">
      <c r="A629" s="5" t="s">
        <v>33</v>
      </c>
      <c r="B629" s="5" t="s">
        <v>34</v>
      </c>
      <c r="C629" t="s">
        <v>92</v>
      </c>
      <c r="D629" t="s">
        <v>849</v>
      </c>
      <c r="E629" t="s">
        <v>23</v>
      </c>
      <c r="F629" t="s">
        <v>24</v>
      </c>
      <c r="G629" s="3">
        <v>40361</v>
      </c>
      <c r="H629">
        <v>551725089</v>
      </c>
      <c r="I629" s="3">
        <v>40400</v>
      </c>
      <c r="J629">
        <v>6569</v>
      </c>
      <c r="K629">
        <v>421.89</v>
      </c>
      <c r="L629">
        <v>364.69</v>
      </c>
      <c r="M629">
        <f t="shared" si="81"/>
        <v>2771395.4099999997</v>
      </c>
      <c r="N629">
        <f t="shared" si="82"/>
        <v>2395648.61</v>
      </c>
      <c r="O629">
        <f t="shared" si="83"/>
        <v>375746.79999999981</v>
      </c>
      <c r="P629" s="6">
        <f t="shared" si="84"/>
        <v>0.13558036455000114</v>
      </c>
      <c r="Q629">
        <f t="shared" si="85"/>
        <v>39</v>
      </c>
      <c r="R629">
        <f t="shared" si="86"/>
        <v>2010</v>
      </c>
      <c r="S629" t="str">
        <f t="shared" si="87"/>
        <v>July</v>
      </c>
      <c r="T629">
        <f t="shared" si="88"/>
        <v>7</v>
      </c>
      <c r="U629" t="str">
        <f t="shared" si="89"/>
        <v>Medium Profit</v>
      </c>
    </row>
    <row r="630" spans="1:21" x14ac:dyDescent="0.35">
      <c r="A630" s="5" t="s">
        <v>50</v>
      </c>
      <c r="B630" s="5" t="s">
        <v>204</v>
      </c>
      <c r="C630" t="s">
        <v>92</v>
      </c>
      <c r="D630" t="s">
        <v>850</v>
      </c>
      <c r="E630" t="s">
        <v>23</v>
      </c>
      <c r="F630" t="s">
        <v>66</v>
      </c>
      <c r="G630" s="3">
        <v>41626</v>
      </c>
      <c r="H630">
        <v>957553613</v>
      </c>
      <c r="I630" s="3">
        <v>41649</v>
      </c>
      <c r="J630">
        <v>248</v>
      </c>
      <c r="K630">
        <v>421.89</v>
      </c>
      <c r="L630">
        <v>364.69</v>
      </c>
      <c r="M630">
        <f t="shared" si="81"/>
        <v>104628.72</v>
      </c>
      <c r="N630">
        <f t="shared" si="82"/>
        <v>90443.12</v>
      </c>
      <c r="O630">
        <f t="shared" si="83"/>
        <v>14185.600000000006</v>
      </c>
      <c r="P630" s="6">
        <f t="shared" si="84"/>
        <v>0.13558036455000125</v>
      </c>
      <c r="Q630">
        <f t="shared" si="85"/>
        <v>23</v>
      </c>
      <c r="R630">
        <f t="shared" si="86"/>
        <v>2013</v>
      </c>
      <c r="S630" t="str">
        <f t="shared" si="87"/>
        <v>December</v>
      </c>
      <c r="T630">
        <f t="shared" si="88"/>
        <v>12</v>
      </c>
      <c r="U630" t="str">
        <f t="shared" si="89"/>
        <v>Low Profit</v>
      </c>
    </row>
    <row r="631" spans="1:21" x14ac:dyDescent="0.35">
      <c r="A631" s="5" t="s">
        <v>37</v>
      </c>
      <c r="B631" s="5" t="s">
        <v>191</v>
      </c>
      <c r="C631" t="s">
        <v>69</v>
      </c>
      <c r="D631" t="s">
        <v>851</v>
      </c>
      <c r="E631" t="s">
        <v>23</v>
      </c>
      <c r="F631" t="s">
        <v>66</v>
      </c>
      <c r="G631" s="3">
        <v>42448</v>
      </c>
      <c r="H631">
        <v>234825313</v>
      </c>
      <c r="I631" s="3">
        <v>42452</v>
      </c>
      <c r="J631">
        <v>8883</v>
      </c>
      <c r="K631">
        <v>651.21</v>
      </c>
      <c r="L631">
        <v>524.96</v>
      </c>
      <c r="M631">
        <f t="shared" si="81"/>
        <v>5784698.4300000006</v>
      </c>
      <c r="N631">
        <f t="shared" si="82"/>
        <v>4663219.6800000006</v>
      </c>
      <c r="O631">
        <f t="shared" si="83"/>
        <v>1121478.75</v>
      </c>
      <c r="P631" s="6">
        <f t="shared" si="84"/>
        <v>0.19386987300563563</v>
      </c>
      <c r="Q631">
        <f t="shared" si="85"/>
        <v>4</v>
      </c>
      <c r="R631">
        <f t="shared" si="86"/>
        <v>2016</v>
      </c>
      <c r="S631" t="str">
        <f t="shared" si="87"/>
        <v>March</v>
      </c>
      <c r="T631">
        <f t="shared" si="88"/>
        <v>3</v>
      </c>
      <c r="U631" t="str">
        <f t="shared" si="89"/>
        <v>High Profit</v>
      </c>
    </row>
    <row r="632" spans="1:21" x14ac:dyDescent="0.35">
      <c r="A632" s="5" t="s">
        <v>42</v>
      </c>
      <c r="B632" s="5" t="s">
        <v>822</v>
      </c>
      <c r="C632" t="s">
        <v>58</v>
      </c>
      <c r="D632" t="s">
        <v>852</v>
      </c>
      <c r="E632" t="s">
        <v>29</v>
      </c>
      <c r="F632" t="s">
        <v>24</v>
      </c>
      <c r="G632" s="3">
        <v>40338</v>
      </c>
      <c r="H632">
        <v>363276517</v>
      </c>
      <c r="I632" s="3">
        <v>40368</v>
      </c>
      <c r="J632">
        <v>449</v>
      </c>
      <c r="K632">
        <v>152.58000000000001</v>
      </c>
      <c r="L632">
        <v>97.44</v>
      </c>
      <c r="M632">
        <f t="shared" si="81"/>
        <v>68508.420000000013</v>
      </c>
      <c r="N632">
        <f t="shared" si="82"/>
        <v>43750.559999999998</v>
      </c>
      <c r="O632">
        <f t="shared" si="83"/>
        <v>24757.860000000015</v>
      </c>
      <c r="P632" s="6">
        <f t="shared" si="84"/>
        <v>0.36138419189933163</v>
      </c>
      <c r="Q632">
        <f t="shared" si="85"/>
        <v>30</v>
      </c>
      <c r="R632">
        <f t="shared" si="86"/>
        <v>2010</v>
      </c>
      <c r="S632" t="str">
        <f t="shared" si="87"/>
        <v>June</v>
      </c>
      <c r="T632">
        <f t="shared" si="88"/>
        <v>6</v>
      </c>
      <c r="U632" t="str">
        <f t="shared" si="89"/>
        <v>Low Profit</v>
      </c>
    </row>
    <row r="633" spans="1:21" x14ac:dyDescent="0.35">
      <c r="A633" s="5" t="s">
        <v>42</v>
      </c>
      <c r="B633" s="5" t="s">
        <v>361</v>
      </c>
      <c r="C633" t="s">
        <v>83</v>
      </c>
      <c r="D633" t="s">
        <v>853</v>
      </c>
      <c r="E633" t="s">
        <v>29</v>
      </c>
      <c r="F633" t="s">
        <v>24</v>
      </c>
      <c r="G633" s="3">
        <v>42876</v>
      </c>
      <c r="H633">
        <v>692956054</v>
      </c>
      <c r="I633" s="3">
        <v>42909</v>
      </c>
      <c r="J633">
        <v>9950</v>
      </c>
      <c r="K633">
        <v>81.73</v>
      </c>
      <c r="L633">
        <v>56.67</v>
      </c>
      <c r="M633">
        <f t="shared" si="81"/>
        <v>813213.5</v>
      </c>
      <c r="N633">
        <f t="shared" si="82"/>
        <v>563866.5</v>
      </c>
      <c r="O633">
        <f t="shared" si="83"/>
        <v>249347</v>
      </c>
      <c r="P633" s="6">
        <f t="shared" si="84"/>
        <v>0.30661935641747218</v>
      </c>
      <c r="Q633">
        <f t="shared" si="85"/>
        <v>33</v>
      </c>
      <c r="R633">
        <f t="shared" si="86"/>
        <v>2017</v>
      </c>
      <c r="S633" t="str">
        <f t="shared" si="87"/>
        <v>May</v>
      </c>
      <c r="T633">
        <f t="shared" si="88"/>
        <v>5</v>
      </c>
      <c r="U633" t="str">
        <f t="shared" si="89"/>
        <v>Medium Profit</v>
      </c>
    </row>
    <row r="634" spans="1:21" x14ac:dyDescent="0.35">
      <c r="A634" s="5" t="s">
        <v>37</v>
      </c>
      <c r="B634" s="5" t="s">
        <v>74</v>
      </c>
      <c r="C634" t="s">
        <v>21</v>
      </c>
      <c r="D634" t="s">
        <v>854</v>
      </c>
      <c r="E634" t="s">
        <v>29</v>
      </c>
      <c r="F634" t="s">
        <v>41</v>
      </c>
      <c r="G634" s="3">
        <v>41437</v>
      </c>
      <c r="H634">
        <v>194225251</v>
      </c>
      <c r="I634" s="3">
        <v>41444</v>
      </c>
      <c r="J634">
        <v>4423</v>
      </c>
      <c r="K634">
        <v>437.2</v>
      </c>
      <c r="L634">
        <v>263.33</v>
      </c>
      <c r="M634">
        <f t="shared" si="81"/>
        <v>1933735.5999999999</v>
      </c>
      <c r="N634">
        <f t="shared" si="82"/>
        <v>1164708.5899999999</v>
      </c>
      <c r="O634">
        <f t="shared" si="83"/>
        <v>769027.01</v>
      </c>
      <c r="P634" s="6">
        <f t="shared" si="84"/>
        <v>0.3976898444647759</v>
      </c>
      <c r="Q634">
        <f t="shared" si="85"/>
        <v>7</v>
      </c>
      <c r="R634">
        <f t="shared" si="86"/>
        <v>2013</v>
      </c>
      <c r="S634" t="str">
        <f t="shared" si="87"/>
        <v>June</v>
      </c>
      <c r="T634">
        <f t="shared" si="88"/>
        <v>6</v>
      </c>
      <c r="U634" t="str">
        <f t="shared" si="89"/>
        <v>High Profit</v>
      </c>
    </row>
    <row r="635" spans="1:21" x14ac:dyDescent="0.35">
      <c r="A635" s="5" t="s">
        <v>53</v>
      </c>
      <c r="B635" s="5" t="s">
        <v>376</v>
      </c>
      <c r="C635" t="s">
        <v>39</v>
      </c>
      <c r="D635" t="s">
        <v>855</v>
      </c>
      <c r="E635" t="s">
        <v>29</v>
      </c>
      <c r="F635" t="s">
        <v>66</v>
      </c>
      <c r="G635" s="3">
        <v>40231</v>
      </c>
      <c r="H635">
        <v>607757937</v>
      </c>
      <c r="I635" s="3">
        <v>40273</v>
      </c>
      <c r="J635">
        <v>7934</v>
      </c>
      <c r="K635">
        <v>9.33</v>
      </c>
      <c r="L635">
        <v>6.92</v>
      </c>
      <c r="M635">
        <f t="shared" si="81"/>
        <v>74024.22</v>
      </c>
      <c r="N635">
        <f t="shared" si="82"/>
        <v>54903.28</v>
      </c>
      <c r="O635">
        <f t="shared" si="83"/>
        <v>19120.940000000002</v>
      </c>
      <c r="P635" s="6">
        <f t="shared" si="84"/>
        <v>0.25830653804930337</v>
      </c>
      <c r="Q635">
        <f t="shared" si="85"/>
        <v>42</v>
      </c>
      <c r="R635">
        <f t="shared" si="86"/>
        <v>2010</v>
      </c>
      <c r="S635" t="str">
        <f t="shared" si="87"/>
        <v>February</v>
      </c>
      <c r="T635">
        <f t="shared" si="88"/>
        <v>2</v>
      </c>
      <c r="U635" t="str">
        <f t="shared" si="89"/>
        <v>Low Profit</v>
      </c>
    </row>
    <row r="636" spans="1:21" x14ac:dyDescent="0.35">
      <c r="A636" s="5" t="s">
        <v>42</v>
      </c>
      <c r="B636" s="5" t="s">
        <v>198</v>
      </c>
      <c r="C636" t="s">
        <v>35</v>
      </c>
      <c r="D636" t="s">
        <v>856</v>
      </c>
      <c r="E636" t="s">
        <v>23</v>
      </c>
      <c r="F636" t="s">
        <v>41</v>
      </c>
      <c r="G636" s="3">
        <v>41089</v>
      </c>
      <c r="H636">
        <v>594540441</v>
      </c>
      <c r="I636" s="3">
        <v>41120</v>
      </c>
      <c r="J636">
        <v>6583</v>
      </c>
      <c r="K636">
        <v>205.7</v>
      </c>
      <c r="L636">
        <v>117.11</v>
      </c>
      <c r="M636">
        <f t="shared" si="81"/>
        <v>1354123.0999999999</v>
      </c>
      <c r="N636">
        <f t="shared" si="82"/>
        <v>770935.13</v>
      </c>
      <c r="O636">
        <f t="shared" si="83"/>
        <v>583187.96999999986</v>
      </c>
      <c r="P636" s="6">
        <f t="shared" si="84"/>
        <v>0.43067574137092846</v>
      </c>
      <c r="Q636">
        <f t="shared" si="85"/>
        <v>31</v>
      </c>
      <c r="R636">
        <f t="shared" si="86"/>
        <v>2012</v>
      </c>
      <c r="S636" t="str">
        <f t="shared" si="87"/>
        <v>June</v>
      </c>
      <c r="T636">
        <f t="shared" si="88"/>
        <v>6</v>
      </c>
      <c r="U636" t="str">
        <f t="shared" si="89"/>
        <v>High Profit</v>
      </c>
    </row>
    <row r="637" spans="1:21" x14ac:dyDescent="0.35">
      <c r="A637" s="5" t="s">
        <v>42</v>
      </c>
      <c r="B637" s="5" t="s">
        <v>285</v>
      </c>
      <c r="C637" t="s">
        <v>27</v>
      </c>
      <c r="D637" t="s">
        <v>857</v>
      </c>
      <c r="E637" t="s">
        <v>29</v>
      </c>
      <c r="F637" t="s">
        <v>66</v>
      </c>
      <c r="G637" s="3">
        <v>42086</v>
      </c>
      <c r="H637">
        <v>685871589</v>
      </c>
      <c r="I637" s="3">
        <v>42099</v>
      </c>
      <c r="J637">
        <v>3500</v>
      </c>
      <c r="K637">
        <v>154.06</v>
      </c>
      <c r="L637">
        <v>90.93</v>
      </c>
      <c r="M637">
        <f t="shared" si="81"/>
        <v>539210</v>
      </c>
      <c r="N637">
        <f t="shared" si="82"/>
        <v>318255</v>
      </c>
      <c r="O637">
        <f t="shared" si="83"/>
        <v>220955</v>
      </c>
      <c r="P637" s="6">
        <f t="shared" si="84"/>
        <v>0.40977541217707386</v>
      </c>
      <c r="Q637">
        <f t="shared" si="85"/>
        <v>13</v>
      </c>
      <c r="R637">
        <f t="shared" si="86"/>
        <v>2015</v>
      </c>
      <c r="S637" t="str">
        <f t="shared" si="87"/>
        <v>March</v>
      </c>
      <c r="T637">
        <f t="shared" si="88"/>
        <v>3</v>
      </c>
      <c r="U637" t="str">
        <f t="shared" si="89"/>
        <v>Medium Profit</v>
      </c>
    </row>
    <row r="638" spans="1:21" x14ac:dyDescent="0.35">
      <c r="A638" s="5" t="s">
        <v>53</v>
      </c>
      <c r="B638" s="5" t="s">
        <v>212</v>
      </c>
      <c r="C638" t="s">
        <v>35</v>
      </c>
      <c r="D638" t="s">
        <v>858</v>
      </c>
      <c r="E638" t="s">
        <v>23</v>
      </c>
      <c r="F638" t="s">
        <v>32</v>
      </c>
      <c r="G638" s="3">
        <v>41682</v>
      </c>
      <c r="H638">
        <v>133362710</v>
      </c>
      <c r="I638" s="3">
        <v>41721</v>
      </c>
      <c r="J638">
        <v>3844</v>
      </c>
      <c r="K638">
        <v>205.7</v>
      </c>
      <c r="L638">
        <v>117.11</v>
      </c>
      <c r="M638">
        <f t="shared" si="81"/>
        <v>790710.79999999993</v>
      </c>
      <c r="N638">
        <f t="shared" si="82"/>
        <v>450170.84</v>
      </c>
      <c r="O638">
        <f t="shared" si="83"/>
        <v>340539.9599999999</v>
      </c>
      <c r="P638" s="6">
        <f t="shared" si="84"/>
        <v>0.43067574137092846</v>
      </c>
      <c r="Q638">
        <f t="shared" si="85"/>
        <v>39</v>
      </c>
      <c r="R638">
        <f t="shared" si="86"/>
        <v>2014</v>
      </c>
      <c r="S638" t="str">
        <f t="shared" si="87"/>
        <v>February</v>
      </c>
      <c r="T638">
        <f t="shared" si="88"/>
        <v>2</v>
      </c>
      <c r="U638" t="str">
        <f t="shared" si="89"/>
        <v>Medium Profit</v>
      </c>
    </row>
    <row r="639" spans="1:21" x14ac:dyDescent="0.35">
      <c r="A639" s="5" t="s">
        <v>37</v>
      </c>
      <c r="B639" s="5" t="s">
        <v>139</v>
      </c>
      <c r="C639" t="s">
        <v>48</v>
      </c>
      <c r="D639" t="s">
        <v>859</v>
      </c>
      <c r="E639" t="s">
        <v>23</v>
      </c>
      <c r="F639" t="s">
        <v>41</v>
      </c>
      <c r="G639" s="3">
        <v>42877</v>
      </c>
      <c r="H639">
        <v>958937633</v>
      </c>
      <c r="I639" s="3">
        <v>42921</v>
      </c>
      <c r="J639">
        <v>9810</v>
      </c>
      <c r="K639">
        <v>109.28</v>
      </c>
      <c r="L639">
        <v>35.840000000000003</v>
      </c>
      <c r="M639">
        <f t="shared" si="81"/>
        <v>1072036.8</v>
      </c>
      <c r="N639">
        <f t="shared" si="82"/>
        <v>351590.40000000002</v>
      </c>
      <c r="O639">
        <f t="shared" si="83"/>
        <v>720446.4</v>
      </c>
      <c r="P639" s="6">
        <f t="shared" si="84"/>
        <v>0.67203513909224011</v>
      </c>
      <c r="Q639">
        <f t="shared" si="85"/>
        <v>44</v>
      </c>
      <c r="R639">
        <f t="shared" si="86"/>
        <v>2017</v>
      </c>
      <c r="S639" t="str">
        <f t="shared" si="87"/>
        <v>May</v>
      </c>
      <c r="T639">
        <f t="shared" si="88"/>
        <v>5</v>
      </c>
      <c r="U639" t="str">
        <f t="shared" si="89"/>
        <v>High Profit</v>
      </c>
    </row>
    <row r="640" spans="1:21" x14ac:dyDescent="0.35">
      <c r="A640" s="5" t="s">
        <v>37</v>
      </c>
      <c r="B640" s="5" t="s">
        <v>330</v>
      </c>
      <c r="C640" t="s">
        <v>27</v>
      </c>
      <c r="D640" t="s">
        <v>860</v>
      </c>
      <c r="E640" t="s">
        <v>29</v>
      </c>
      <c r="F640" t="s">
        <v>32</v>
      </c>
      <c r="G640" s="3">
        <v>40761</v>
      </c>
      <c r="H640">
        <v>304832684</v>
      </c>
      <c r="I640" s="3">
        <v>40792</v>
      </c>
      <c r="J640">
        <v>5620</v>
      </c>
      <c r="K640">
        <v>154.06</v>
      </c>
      <c r="L640">
        <v>90.93</v>
      </c>
      <c r="M640">
        <f t="shared" si="81"/>
        <v>865817.20000000007</v>
      </c>
      <c r="N640">
        <f t="shared" si="82"/>
        <v>511026.60000000003</v>
      </c>
      <c r="O640">
        <f t="shared" si="83"/>
        <v>354790.60000000003</v>
      </c>
      <c r="P640" s="6">
        <f t="shared" si="84"/>
        <v>0.40977541217707386</v>
      </c>
      <c r="Q640">
        <f t="shared" si="85"/>
        <v>31</v>
      </c>
      <c r="R640">
        <f t="shared" si="86"/>
        <v>2011</v>
      </c>
      <c r="S640" t="str">
        <f t="shared" si="87"/>
        <v>August</v>
      </c>
      <c r="T640">
        <f t="shared" si="88"/>
        <v>8</v>
      </c>
      <c r="U640" t="str">
        <f t="shared" si="89"/>
        <v>Medium Profit</v>
      </c>
    </row>
    <row r="641" spans="1:21" x14ac:dyDescent="0.35">
      <c r="A641" s="5" t="s">
        <v>33</v>
      </c>
      <c r="B641" s="5" t="s">
        <v>141</v>
      </c>
      <c r="C641" t="s">
        <v>30</v>
      </c>
      <c r="D641" t="s">
        <v>861</v>
      </c>
      <c r="E641" t="s">
        <v>23</v>
      </c>
      <c r="F641" t="s">
        <v>66</v>
      </c>
      <c r="G641" s="3">
        <v>40496</v>
      </c>
      <c r="H641">
        <v>783596694</v>
      </c>
      <c r="I641" s="3">
        <v>40536</v>
      </c>
      <c r="J641">
        <v>2530</v>
      </c>
      <c r="K641">
        <v>255.28</v>
      </c>
      <c r="L641">
        <v>159.41999999999999</v>
      </c>
      <c r="M641">
        <f t="shared" si="81"/>
        <v>645858.4</v>
      </c>
      <c r="N641">
        <f t="shared" si="82"/>
        <v>403332.6</v>
      </c>
      <c r="O641">
        <f t="shared" si="83"/>
        <v>242525.80000000005</v>
      </c>
      <c r="P641" s="6">
        <f t="shared" si="84"/>
        <v>0.37550924475086184</v>
      </c>
      <c r="Q641">
        <f t="shared" si="85"/>
        <v>40</v>
      </c>
      <c r="R641">
        <f t="shared" si="86"/>
        <v>2010</v>
      </c>
      <c r="S641" t="str">
        <f t="shared" si="87"/>
        <v>November</v>
      </c>
      <c r="T641">
        <f t="shared" si="88"/>
        <v>11</v>
      </c>
      <c r="U641" t="str">
        <f t="shared" si="89"/>
        <v>Medium Profit</v>
      </c>
    </row>
    <row r="642" spans="1:21" x14ac:dyDescent="0.35">
      <c r="A642" s="5" t="s">
        <v>37</v>
      </c>
      <c r="B642" s="5" t="s">
        <v>157</v>
      </c>
      <c r="C642" t="s">
        <v>60</v>
      </c>
      <c r="D642" t="s">
        <v>862</v>
      </c>
      <c r="E642" t="s">
        <v>23</v>
      </c>
      <c r="F642" t="s">
        <v>32</v>
      </c>
      <c r="G642" s="3">
        <v>42099</v>
      </c>
      <c r="H642">
        <v>128090989</v>
      </c>
      <c r="I642" s="3">
        <v>42121</v>
      </c>
      <c r="J642">
        <v>3825</v>
      </c>
      <c r="K642">
        <v>668.27</v>
      </c>
      <c r="L642">
        <v>502.54</v>
      </c>
      <c r="M642">
        <f t="shared" si="81"/>
        <v>2556132.75</v>
      </c>
      <c r="N642">
        <f t="shared" si="82"/>
        <v>1922215.5</v>
      </c>
      <c r="O642">
        <f t="shared" si="83"/>
        <v>633917.25</v>
      </c>
      <c r="P642" s="6">
        <f t="shared" si="84"/>
        <v>0.24799856345489099</v>
      </c>
      <c r="Q642">
        <f t="shared" si="85"/>
        <v>22</v>
      </c>
      <c r="R642">
        <f t="shared" si="86"/>
        <v>2015</v>
      </c>
      <c r="S642" t="str">
        <f t="shared" si="87"/>
        <v>April</v>
      </c>
      <c r="T642">
        <f t="shared" si="88"/>
        <v>4</v>
      </c>
      <c r="U642" t="str">
        <f t="shared" si="89"/>
        <v>High Profit</v>
      </c>
    </row>
    <row r="643" spans="1:21" x14ac:dyDescent="0.35">
      <c r="A643" s="5" t="s">
        <v>37</v>
      </c>
      <c r="B643" s="5" t="s">
        <v>395</v>
      </c>
      <c r="C643" t="s">
        <v>27</v>
      </c>
      <c r="D643" t="s">
        <v>863</v>
      </c>
      <c r="E643" t="s">
        <v>23</v>
      </c>
      <c r="F643" t="s">
        <v>24</v>
      </c>
      <c r="G643" s="3">
        <v>41828</v>
      </c>
      <c r="H643">
        <v>641489398</v>
      </c>
      <c r="I643" s="3">
        <v>41848</v>
      </c>
      <c r="J643">
        <v>9823</v>
      </c>
      <c r="K643">
        <v>154.06</v>
      </c>
      <c r="L643">
        <v>90.93</v>
      </c>
      <c r="M643">
        <f t="shared" ref="M643:M706" si="90">J643*K643</f>
        <v>1513331.3800000001</v>
      </c>
      <c r="N643">
        <f t="shared" ref="N643:N706" si="91">J643*L643</f>
        <v>893205.39</v>
      </c>
      <c r="O643">
        <f t="shared" ref="O643:O706" si="92">M643-N643</f>
        <v>620125.99000000011</v>
      </c>
      <c r="P643" s="6">
        <f t="shared" ref="P643:P706" si="93">O643/M643</f>
        <v>0.40977541217707392</v>
      </c>
      <c r="Q643">
        <f t="shared" ref="Q643:Q706" si="94">I643-G643</f>
        <v>20</v>
      </c>
      <c r="R643">
        <f t="shared" ref="R643:R706" si="95">YEAR(G643)</f>
        <v>2014</v>
      </c>
      <c r="S643" t="str">
        <f t="shared" ref="S643:S706" si="96">TEXT(G643,"mmmm")</f>
        <v>July</v>
      </c>
      <c r="T643">
        <f t="shared" ref="T643:T706" si="97">MONTH(G643)</f>
        <v>7</v>
      </c>
      <c r="U643" t="str">
        <f t="shared" ref="U643:U706" si="98">IF(O643&gt;=500000,"High Profit",
IF(O643&gt;=100000,"Medium Profit","Low Profit"))</f>
        <v>High Profit</v>
      </c>
    </row>
    <row r="644" spans="1:21" x14ac:dyDescent="0.35">
      <c r="A644" s="5" t="s">
        <v>53</v>
      </c>
      <c r="B644" s="5" t="s">
        <v>340</v>
      </c>
      <c r="C644" t="s">
        <v>48</v>
      </c>
      <c r="D644" t="s">
        <v>864</v>
      </c>
      <c r="E644" t="s">
        <v>23</v>
      </c>
      <c r="F644" t="s">
        <v>24</v>
      </c>
      <c r="G644" s="3">
        <v>41860</v>
      </c>
      <c r="H644">
        <v>647278249</v>
      </c>
      <c r="I644" s="3">
        <v>41898</v>
      </c>
      <c r="J644">
        <v>2873</v>
      </c>
      <c r="K644">
        <v>109.28</v>
      </c>
      <c r="L644">
        <v>35.840000000000003</v>
      </c>
      <c r="M644">
        <f t="shared" si="90"/>
        <v>313961.44</v>
      </c>
      <c r="N644">
        <f t="shared" si="91"/>
        <v>102968.32000000001</v>
      </c>
      <c r="O644">
        <f t="shared" si="92"/>
        <v>210993.12</v>
      </c>
      <c r="P644" s="6">
        <f t="shared" si="93"/>
        <v>0.67203513909224011</v>
      </c>
      <c r="Q644">
        <f t="shared" si="94"/>
        <v>38</v>
      </c>
      <c r="R644">
        <f t="shared" si="95"/>
        <v>2014</v>
      </c>
      <c r="S644" t="str">
        <f t="shared" si="96"/>
        <v>August</v>
      </c>
      <c r="T644">
        <f t="shared" si="97"/>
        <v>8</v>
      </c>
      <c r="U644" t="str">
        <f t="shared" si="98"/>
        <v>Medium Profit</v>
      </c>
    </row>
    <row r="645" spans="1:21" x14ac:dyDescent="0.35">
      <c r="A645" s="5" t="s">
        <v>42</v>
      </c>
      <c r="B645" s="5" t="s">
        <v>759</v>
      </c>
      <c r="C645" t="s">
        <v>48</v>
      </c>
      <c r="D645" t="s">
        <v>865</v>
      </c>
      <c r="E645" t="s">
        <v>29</v>
      </c>
      <c r="F645" t="s">
        <v>41</v>
      </c>
      <c r="G645" s="3">
        <v>40615</v>
      </c>
      <c r="H645">
        <v>339256370</v>
      </c>
      <c r="I645" s="3">
        <v>40633</v>
      </c>
      <c r="J645">
        <v>2354</v>
      </c>
      <c r="K645">
        <v>109.28</v>
      </c>
      <c r="L645">
        <v>35.840000000000003</v>
      </c>
      <c r="M645">
        <f t="shared" si="90"/>
        <v>257245.12</v>
      </c>
      <c r="N645">
        <f t="shared" si="91"/>
        <v>84367.360000000015</v>
      </c>
      <c r="O645">
        <f t="shared" si="92"/>
        <v>172877.75999999998</v>
      </c>
      <c r="P645" s="6">
        <f t="shared" si="93"/>
        <v>0.67203513909224</v>
      </c>
      <c r="Q645">
        <f t="shared" si="94"/>
        <v>18</v>
      </c>
      <c r="R645">
        <f t="shared" si="95"/>
        <v>2011</v>
      </c>
      <c r="S645" t="str">
        <f t="shared" si="96"/>
        <v>March</v>
      </c>
      <c r="T645">
        <f t="shared" si="97"/>
        <v>3</v>
      </c>
      <c r="U645" t="str">
        <f t="shared" si="98"/>
        <v>Medium Profit</v>
      </c>
    </row>
    <row r="646" spans="1:21" x14ac:dyDescent="0.35">
      <c r="A646" s="5" t="s">
        <v>37</v>
      </c>
      <c r="B646" s="5" t="s">
        <v>161</v>
      </c>
      <c r="C646" t="s">
        <v>30</v>
      </c>
      <c r="D646" t="s">
        <v>866</v>
      </c>
      <c r="E646" t="s">
        <v>23</v>
      </c>
      <c r="F646" t="s">
        <v>24</v>
      </c>
      <c r="G646" s="3">
        <v>42431</v>
      </c>
      <c r="H646">
        <v>431535089</v>
      </c>
      <c r="I646" s="3">
        <v>42448</v>
      </c>
      <c r="J646">
        <v>9677</v>
      </c>
      <c r="K646">
        <v>255.28</v>
      </c>
      <c r="L646">
        <v>159.41999999999999</v>
      </c>
      <c r="M646">
        <f t="shared" si="90"/>
        <v>2470344.56</v>
      </c>
      <c r="N646">
        <f t="shared" si="91"/>
        <v>1542707.3399999999</v>
      </c>
      <c r="O646">
        <f t="shared" si="92"/>
        <v>927637.2200000002</v>
      </c>
      <c r="P646" s="6">
        <f t="shared" si="93"/>
        <v>0.37550924475086189</v>
      </c>
      <c r="Q646">
        <f t="shared" si="94"/>
        <v>17</v>
      </c>
      <c r="R646">
        <f t="shared" si="95"/>
        <v>2016</v>
      </c>
      <c r="S646" t="str">
        <f t="shared" si="96"/>
        <v>March</v>
      </c>
      <c r="T646">
        <f t="shared" si="97"/>
        <v>3</v>
      </c>
      <c r="U646" t="str">
        <f t="shared" si="98"/>
        <v>High Profit</v>
      </c>
    </row>
    <row r="647" spans="1:21" x14ac:dyDescent="0.35">
      <c r="A647" s="5" t="s">
        <v>19</v>
      </c>
      <c r="B647" s="5" t="s">
        <v>210</v>
      </c>
      <c r="C647" t="s">
        <v>35</v>
      </c>
      <c r="D647" t="s">
        <v>867</v>
      </c>
      <c r="E647" t="s">
        <v>23</v>
      </c>
      <c r="F647" t="s">
        <v>32</v>
      </c>
      <c r="G647" s="3">
        <v>42357</v>
      </c>
      <c r="H647">
        <v>808538234</v>
      </c>
      <c r="I647" s="3">
        <v>42385</v>
      </c>
      <c r="J647">
        <v>3286</v>
      </c>
      <c r="K647">
        <v>205.7</v>
      </c>
      <c r="L647">
        <v>117.11</v>
      </c>
      <c r="M647">
        <f t="shared" si="90"/>
        <v>675930.2</v>
      </c>
      <c r="N647">
        <f t="shared" si="91"/>
        <v>384823.46</v>
      </c>
      <c r="O647">
        <f t="shared" si="92"/>
        <v>291106.73999999993</v>
      </c>
      <c r="P647" s="6">
        <f t="shared" si="93"/>
        <v>0.43067574137092846</v>
      </c>
      <c r="Q647">
        <f t="shared" si="94"/>
        <v>28</v>
      </c>
      <c r="R647">
        <f t="shared" si="95"/>
        <v>2015</v>
      </c>
      <c r="S647" t="str">
        <f t="shared" si="96"/>
        <v>December</v>
      </c>
      <c r="T647">
        <f t="shared" si="97"/>
        <v>12</v>
      </c>
      <c r="U647" t="str">
        <f t="shared" si="98"/>
        <v>Medium Profit</v>
      </c>
    </row>
    <row r="648" spans="1:21" x14ac:dyDescent="0.35">
      <c r="A648" s="5" t="s">
        <v>42</v>
      </c>
      <c r="B648" s="5" t="s">
        <v>308</v>
      </c>
      <c r="C648" t="s">
        <v>83</v>
      </c>
      <c r="D648" t="s">
        <v>868</v>
      </c>
      <c r="E648" t="s">
        <v>29</v>
      </c>
      <c r="F648" t="s">
        <v>32</v>
      </c>
      <c r="G648" s="3">
        <v>41361</v>
      </c>
      <c r="H648">
        <v>975002133</v>
      </c>
      <c r="I648" s="3">
        <v>41371</v>
      </c>
      <c r="J648">
        <v>3653</v>
      </c>
      <c r="K648">
        <v>81.73</v>
      </c>
      <c r="L648">
        <v>56.67</v>
      </c>
      <c r="M648">
        <f t="shared" si="90"/>
        <v>298559.69</v>
      </c>
      <c r="N648">
        <f t="shared" si="91"/>
        <v>207015.51</v>
      </c>
      <c r="O648">
        <f t="shared" si="92"/>
        <v>91544.18</v>
      </c>
      <c r="P648" s="6">
        <f t="shared" si="93"/>
        <v>0.30661935641747212</v>
      </c>
      <c r="Q648">
        <f t="shared" si="94"/>
        <v>10</v>
      </c>
      <c r="R648">
        <f t="shared" si="95"/>
        <v>2013</v>
      </c>
      <c r="S648" t="str">
        <f t="shared" si="96"/>
        <v>March</v>
      </c>
      <c r="T648">
        <f t="shared" si="97"/>
        <v>3</v>
      </c>
      <c r="U648" t="str">
        <f t="shared" si="98"/>
        <v>Low Profit</v>
      </c>
    </row>
    <row r="649" spans="1:21" x14ac:dyDescent="0.35">
      <c r="A649" s="5" t="s">
        <v>33</v>
      </c>
      <c r="B649" s="5" t="s">
        <v>129</v>
      </c>
      <c r="C649" t="s">
        <v>58</v>
      </c>
      <c r="D649" t="s">
        <v>869</v>
      </c>
      <c r="E649" t="s">
        <v>29</v>
      </c>
      <c r="F649" t="s">
        <v>41</v>
      </c>
      <c r="G649" s="3">
        <v>42182</v>
      </c>
      <c r="H649">
        <v>505975615</v>
      </c>
      <c r="I649" s="3">
        <v>42189</v>
      </c>
      <c r="J649">
        <v>8283</v>
      </c>
      <c r="K649">
        <v>152.58000000000001</v>
      </c>
      <c r="L649">
        <v>97.44</v>
      </c>
      <c r="M649">
        <f t="shared" si="90"/>
        <v>1263820.1400000001</v>
      </c>
      <c r="N649">
        <f t="shared" si="91"/>
        <v>807095.52</v>
      </c>
      <c r="O649">
        <f t="shared" si="92"/>
        <v>456724.62000000011</v>
      </c>
      <c r="P649" s="6">
        <f t="shared" si="93"/>
        <v>0.36138419189933157</v>
      </c>
      <c r="Q649">
        <f t="shared" si="94"/>
        <v>7</v>
      </c>
      <c r="R649">
        <f t="shared" si="95"/>
        <v>2015</v>
      </c>
      <c r="S649" t="str">
        <f t="shared" si="96"/>
        <v>June</v>
      </c>
      <c r="T649">
        <f t="shared" si="97"/>
        <v>6</v>
      </c>
      <c r="U649" t="str">
        <f t="shared" si="98"/>
        <v>Medium Profit</v>
      </c>
    </row>
    <row r="650" spans="1:21" x14ac:dyDescent="0.35">
      <c r="A650" s="5" t="s">
        <v>33</v>
      </c>
      <c r="B650" s="5" t="s">
        <v>243</v>
      </c>
      <c r="C650" t="s">
        <v>27</v>
      </c>
      <c r="D650" t="s">
        <v>870</v>
      </c>
      <c r="E650" t="s">
        <v>23</v>
      </c>
      <c r="F650" t="s">
        <v>24</v>
      </c>
      <c r="G650" s="3">
        <v>42418</v>
      </c>
      <c r="H650">
        <v>396820008</v>
      </c>
      <c r="I650" s="3">
        <v>42449</v>
      </c>
      <c r="J650">
        <v>6714</v>
      </c>
      <c r="K650">
        <v>154.06</v>
      </c>
      <c r="L650">
        <v>90.93</v>
      </c>
      <c r="M650">
        <f t="shared" si="90"/>
        <v>1034358.84</v>
      </c>
      <c r="N650">
        <f t="shared" si="91"/>
        <v>610504.02</v>
      </c>
      <c r="O650">
        <f t="shared" si="92"/>
        <v>423854.81999999995</v>
      </c>
      <c r="P650" s="6">
        <f t="shared" si="93"/>
        <v>0.40977541217707381</v>
      </c>
      <c r="Q650">
        <f t="shared" si="94"/>
        <v>31</v>
      </c>
      <c r="R650">
        <f t="shared" si="95"/>
        <v>2016</v>
      </c>
      <c r="S650" t="str">
        <f t="shared" si="96"/>
        <v>February</v>
      </c>
      <c r="T650">
        <f t="shared" si="97"/>
        <v>2</v>
      </c>
      <c r="U650" t="str">
        <f t="shared" si="98"/>
        <v>Medium Profit</v>
      </c>
    </row>
    <row r="651" spans="1:21" x14ac:dyDescent="0.35">
      <c r="A651" s="5" t="s">
        <v>42</v>
      </c>
      <c r="B651" s="5" t="s">
        <v>150</v>
      </c>
      <c r="C651" t="s">
        <v>27</v>
      </c>
      <c r="D651" t="s">
        <v>871</v>
      </c>
      <c r="E651" t="s">
        <v>29</v>
      </c>
      <c r="F651" t="s">
        <v>41</v>
      </c>
      <c r="G651" s="3">
        <v>41439</v>
      </c>
      <c r="H651">
        <v>813209140</v>
      </c>
      <c r="I651" s="3">
        <v>41465</v>
      </c>
      <c r="J651">
        <v>5511</v>
      </c>
      <c r="K651">
        <v>154.06</v>
      </c>
      <c r="L651">
        <v>90.93</v>
      </c>
      <c r="M651">
        <f t="shared" si="90"/>
        <v>849024.66</v>
      </c>
      <c r="N651">
        <f t="shared" si="91"/>
        <v>501115.23000000004</v>
      </c>
      <c r="O651">
        <f t="shared" si="92"/>
        <v>347909.43</v>
      </c>
      <c r="P651" s="6">
        <f t="shared" si="93"/>
        <v>0.40977541217707386</v>
      </c>
      <c r="Q651">
        <f t="shared" si="94"/>
        <v>26</v>
      </c>
      <c r="R651">
        <f t="shared" si="95"/>
        <v>2013</v>
      </c>
      <c r="S651" t="str">
        <f t="shared" si="96"/>
        <v>June</v>
      </c>
      <c r="T651">
        <f t="shared" si="97"/>
        <v>6</v>
      </c>
      <c r="U651" t="str">
        <f t="shared" si="98"/>
        <v>Medium Profit</v>
      </c>
    </row>
    <row r="652" spans="1:21" x14ac:dyDescent="0.35">
      <c r="A652" s="5" t="s">
        <v>42</v>
      </c>
      <c r="B652" s="5" t="s">
        <v>387</v>
      </c>
      <c r="C652" t="s">
        <v>30</v>
      </c>
      <c r="D652" t="s">
        <v>872</v>
      </c>
      <c r="E652" t="s">
        <v>29</v>
      </c>
      <c r="F652" t="s">
        <v>24</v>
      </c>
      <c r="G652" s="3">
        <v>41769</v>
      </c>
      <c r="H652">
        <v>641129338</v>
      </c>
      <c r="I652" s="3">
        <v>41773</v>
      </c>
      <c r="J652">
        <v>3273</v>
      </c>
      <c r="K652">
        <v>255.28</v>
      </c>
      <c r="L652">
        <v>159.41999999999999</v>
      </c>
      <c r="M652">
        <f t="shared" si="90"/>
        <v>835531.44000000006</v>
      </c>
      <c r="N652">
        <f t="shared" si="91"/>
        <v>521781.66</v>
      </c>
      <c r="O652">
        <f t="shared" si="92"/>
        <v>313749.78000000009</v>
      </c>
      <c r="P652" s="6">
        <f t="shared" si="93"/>
        <v>0.37550924475086189</v>
      </c>
      <c r="Q652">
        <f t="shared" si="94"/>
        <v>4</v>
      </c>
      <c r="R652">
        <f t="shared" si="95"/>
        <v>2014</v>
      </c>
      <c r="S652" t="str">
        <f t="shared" si="96"/>
        <v>May</v>
      </c>
      <c r="T652">
        <f t="shared" si="97"/>
        <v>5</v>
      </c>
      <c r="U652" t="str">
        <f t="shared" si="98"/>
        <v>Medium Profit</v>
      </c>
    </row>
    <row r="653" spans="1:21" x14ac:dyDescent="0.35">
      <c r="A653" s="5" t="s">
        <v>19</v>
      </c>
      <c r="B653" s="5" t="s">
        <v>239</v>
      </c>
      <c r="C653" t="s">
        <v>92</v>
      </c>
      <c r="D653" t="s">
        <v>873</v>
      </c>
      <c r="E653" t="s">
        <v>23</v>
      </c>
      <c r="F653" t="s">
        <v>32</v>
      </c>
      <c r="G653" s="3">
        <v>42172</v>
      </c>
      <c r="H653">
        <v>636879432</v>
      </c>
      <c r="I653" s="3">
        <v>42188</v>
      </c>
      <c r="J653">
        <v>5632</v>
      </c>
      <c r="K653">
        <v>421.89</v>
      </c>
      <c r="L653">
        <v>364.69</v>
      </c>
      <c r="M653">
        <f t="shared" si="90"/>
        <v>2376084.48</v>
      </c>
      <c r="N653">
        <f t="shared" si="91"/>
        <v>2053934.0800000001</v>
      </c>
      <c r="O653">
        <f t="shared" si="92"/>
        <v>322150.39999999991</v>
      </c>
      <c r="P653" s="6">
        <f t="shared" si="93"/>
        <v>0.13558036455000114</v>
      </c>
      <c r="Q653">
        <f t="shared" si="94"/>
        <v>16</v>
      </c>
      <c r="R653">
        <f t="shared" si="95"/>
        <v>2015</v>
      </c>
      <c r="S653" t="str">
        <f t="shared" si="96"/>
        <v>June</v>
      </c>
      <c r="T653">
        <f t="shared" si="97"/>
        <v>6</v>
      </c>
      <c r="U653" t="str">
        <f t="shared" si="98"/>
        <v>Medium Profit</v>
      </c>
    </row>
    <row r="654" spans="1:21" x14ac:dyDescent="0.35">
      <c r="A654" s="5" t="s">
        <v>42</v>
      </c>
      <c r="B654" s="5" t="s">
        <v>390</v>
      </c>
      <c r="C654" t="s">
        <v>58</v>
      </c>
      <c r="D654" t="s">
        <v>874</v>
      </c>
      <c r="E654" t="s">
        <v>29</v>
      </c>
      <c r="F654" t="s">
        <v>32</v>
      </c>
      <c r="G654" s="3">
        <v>41801</v>
      </c>
      <c r="H654">
        <v>277070748</v>
      </c>
      <c r="I654" s="3">
        <v>41822</v>
      </c>
      <c r="J654">
        <v>246</v>
      </c>
      <c r="K654">
        <v>152.58000000000001</v>
      </c>
      <c r="L654">
        <v>97.44</v>
      </c>
      <c r="M654">
        <f t="shared" si="90"/>
        <v>37534.68</v>
      </c>
      <c r="N654">
        <f t="shared" si="91"/>
        <v>23970.239999999998</v>
      </c>
      <c r="O654">
        <f t="shared" si="92"/>
        <v>13564.440000000002</v>
      </c>
      <c r="P654" s="6">
        <f t="shared" si="93"/>
        <v>0.36138419189933157</v>
      </c>
      <c r="Q654">
        <f t="shared" si="94"/>
        <v>21</v>
      </c>
      <c r="R654">
        <f t="shared" si="95"/>
        <v>2014</v>
      </c>
      <c r="S654" t="str">
        <f t="shared" si="96"/>
        <v>June</v>
      </c>
      <c r="T654">
        <f t="shared" si="97"/>
        <v>6</v>
      </c>
      <c r="U654" t="str">
        <f t="shared" si="98"/>
        <v>Low Profit</v>
      </c>
    </row>
    <row r="655" spans="1:21" x14ac:dyDescent="0.35">
      <c r="A655" s="5" t="s">
        <v>33</v>
      </c>
      <c r="B655" s="5" t="s">
        <v>141</v>
      </c>
      <c r="C655" t="s">
        <v>21</v>
      </c>
      <c r="D655" t="s">
        <v>875</v>
      </c>
      <c r="E655" t="s">
        <v>23</v>
      </c>
      <c r="F655" t="s">
        <v>41</v>
      </c>
      <c r="G655" s="3">
        <v>41581</v>
      </c>
      <c r="H655">
        <v>908627116</v>
      </c>
      <c r="I655" s="3">
        <v>41602</v>
      </c>
      <c r="J655">
        <v>1810</v>
      </c>
      <c r="K655">
        <v>437.2</v>
      </c>
      <c r="L655">
        <v>263.33</v>
      </c>
      <c r="M655">
        <f t="shared" si="90"/>
        <v>791332</v>
      </c>
      <c r="N655">
        <f t="shared" si="91"/>
        <v>476627.3</v>
      </c>
      <c r="O655">
        <f t="shared" si="92"/>
        <v>314704.7</v>
      </c>
      <c r="P655" s="6">
        <f t="shared" si="93"/>
        <v>0.39768984446477584</v>
      </c>
      <c r="Q655">
        <f t="shared" si="94"/>
        <v>21</v>
      </c>
      <c r="R655">
        <f t="shared" si="95"/>
        <v>2013</v>
      </c>
      <c r="S655" t="str">
        <f t="shared" si="96"/>
        <v>November</v>
      </c>
      <c r="T655">
        <f t="shared" si="97"/>
        <v>11</v>
      </c>
      <c r="U655" t="str">
        <f t="shared" si="98"/>
        <v>Medium Profit</v>
      </c>
    </row>
    <row r="656" spans="1:21" x14ac:dyDescent="0.35">
      <c r="A656" s="5" t="s">
        <v>50</v>
      </c>
      <c r="B656" s="5" t="s">
        <v>456</v>
      </c>
      <c r="C656" t="s">
        <v>21</v>
      </c>
      <c r="D656" t="s">
        <v>876</v>
      </c>
      <c r="E656" t="s">
        <v>23</v>
      </c>
      <c r="F656" t="s">
        <v>32</v>
      </c>
      <c r="G656" s="3">
        <v>42827</v>
      </c>
      <c r="H656">
        <v>798784863</v>
      </c>
      <c r="I656" s="3">
        <v>42857</v>
      </c>
      <c r="J656">
        <v>7047</v>
      </c>
      <c r="K656">
        <v>437.2</v>
      </c>
      <c r="L656">
        <v>263.33</v>
      </c>
      <c r="M656">
        <f t="shared" si="90"/>
        <v>3080948.4</v>
      </c>
      <c r="N656">
        <f t="shared" si="91"/>
        <v>1855686.5099999998</v>
      </c>
      <c r="O656">
        <f t="shared" si="92"/>
        <v>1225261.8900000001</v>
      </c>
      <c r="P656" s="6">
        <f t="shared" si="93"/>
        <v>0.3976898444647759</v>
      </c>
      <c r="Q656">
        <f t="shared" si="94"/>
        <v>30</v>
      </c>
      <c r="R656">
        <f t="shared" si="95"/>
        <v>2017</v>
      </c>
      <c r="S656" t="str">
        <f t="shared" si="96"/>
        <v>April</v>
      </c>
      <c r="T656">
        <f t="shared" si="97"/>
        <v>4</v>
      </c>
      <c r="U656" t="str">
        <f t="shared" si="98"/>
        <v>High Profit</v>
      </c>
    </row>
    <row r="657" spans="1:21" x14ac:dyDescent="0.35">
      <c r="A657" s="5" t="s">
        <v>42</v>
      </c>
      <c r="B657" s="5" t="s">
        <v>68</v>
      </c>
      <c r="C657" t="s">
        <v>72</v>
      </c>
      <c r="D657" t="s">
        <v>877</v>
      </c>
      <c r="E657" t="s">
        <v>23</v>
      </c>
      <c r="F657" t="s">
        <v>41</v>
      </c>
      <c r="G657" s="3">
        <v>40326</v>
      </c>
      <c r="H657">
        <v>985092818</v>
      </c>
      <c r="I657" s="3">
        <v>40376</v>
      </c>
      <c r="J657">
        <v>9711</v>
      </c>
      <c r="K657">
        <v>47.45</v>
      </c>
      <c r="L657">
        <v>31.79</v>
      </c>
      <c r="M657">
        <f t="shared" si="90"/>
        <v>460786.95</v>
      </c>
      <c r="N657">
        <f t="shared" si="91"/>
        <v>308712.69</v>
      </c>
      <c r="O657">
        <f t="shared" si="92"/>
        <v>152074.26</v>
      </c>
      <c r="P657" s="6">
        <f t="shared" si="93"/>
        <v>0.33003161222339306</v>
      </c>
      <c r="Q657">
        <f t="shared" si="94"/>
        <v>50</v>
      </c>
      <c r="R657">
        <f t="shared" si="95"/>
        <v>2010</v>
      </c>
      <c r="S657" t="str">
        <f t="shared" si="96"/>
        <v>May</v>
      </c>
      <c r="T657">
        <f t="shared" si="97"/>
        <v>5</v>
      </c>
      <c r="U657" t="str">
        <f t="shared" si="98"/>
        <v>Medium Profit</v>
      </c>
    </row>
    <row r="658" spans="1:21" x14ac:dyDescent="0.35">
      <c r="A658" s="5" t="s">
        <v>37</v>
      </c>
      <c r="B658" s="5" t="s">
        <v>133</v>
      </c>
      <c r="C658" t="s">
        <v>58</v>
      </c>
      <c r="D658" t="s">
        <v>878</v>
      </c>
      <c r="E658" t="s">
        <v>23</v>
      </c>
      <c r="F658" t="s">
        <v>32</v>
      </c>
      <c r="G658" s="3">
        <v>40320</v>
      </c>
      <c r="H658">
        <v>325412309</v>
      </c>
      <c r="I658" s="3">
        <v>40366</v>
      </c>
      <c r="J658">
        <v>5588</v>
      </c>
      <c r="K658">
        <v>152.58000000000001</v>
      </c>
      <c r="L658">
        <v>97.44</v>
      </c>
      <c r="M658">
        <f t="shared" si="90"/>
        <v>852617.04</v>
      </c>
      <c r="N658">
        <f t="shared" si="91"/>
        <v>544494.72</v>
      </c>
      <c r="O658">
        <f t="shared" si="92"/>
        <v>308122.32000000007</v>
      </c>
      <c r="P658" s="6">
        <f t="shared" si="93"/>
        <v>0.36138419189933157</v>
      </c>
      <c r="Q658">
        <f t="shared" si="94"/>
        <v>46</v>
      </c>
      <c r="R658">
        <f t="shared" si="95"/>
        <v>2010</v>
      </c>
      <c r="S658" t="str">
        <f t="shared" si="96"/>
        <v>May</v>
      </c>
      <c r="T658">
        <f t="shared" si="97"/>
        <v>5</v>
      </c>
      <c r="U658" t="str">
        <f t="shared" si="98"/>
        <v>Medium Profit</v>
      </c>
    </row>
    <row r="659" spans="1:21" x14ac:dyDescent="0.35">
      <c r="A659" s="5" t="s">
        <v>42</v>
      </c>
      <c r="B659" s="5" t="s">
        <v>790</v>
      </c>
      <c r="C659" t="s">
        <v>72</v>
      </c>
      <c r="D659" t="s">
        <v>879</v>
      </c>
      <c r="E659" t="s">
        <v>29</v>
      </c>
      <c r="F659" t="s">
        <v>24</v>
      </c>
      <c r="G659" s="3">
        <v>42523</v>
      </c>
      <c r="H659">
        <v>447917163</v>
      </c>
      <c r="I659" s="3">
        <v>42545</v>
      </c>
      <c r="J659">
        <v>7497</v>
      </c>
      <c r="K659">
        <v>47.45</v>
      </c>
      <c r="L659">
        <v>31.79</v>
      </c>
      <c r="M659">
        <f t="shared" si="90"/>
        <v>355732.65</v>
      </c>
      <c r="N659">
        <f t="shared" si="91"/>
        <v>238329.63</v>
      </c>
      <c r="O659">
        <f t="shared" si="92"/>
        <v>117403.02000000002</v>
      </c>
      <c r="P659" s="6">
        <f t="shared" si="93"/>
        <v>0.33003161222339306</v>
      </c>
      <c r="Q659">
        <f t="shared" si="94"/>
        <v>22</v>
      </c>
      <c r="R659">
        <f t="shared" si="95"/>
        <v>2016</v>
      </c>
      <c r="S659" t="str">
        <f t="shared" si="96"/>
        <v>June</v>
      </c>
      <c r="T659">
        <f t="shared" si="97"/>
        <v>6</v>
      </c>
      <c r="U659" t="str">
        <f t="shared" si="98"/>
        <v>Medium Profit</v>
      </c>
    </row>
    <row r="660" spans="1:21" x14ac:dyDescent="0.35">
      <c r="A660" s="5" t="s">
        <v>33</v>
      </c>
      <c r="B660" s="5" t="s">
        <v>497</v>
      </c>
      <c r="C660" t="s">
        <v>92</v>
      </c>
      <c r="D660" t="s">
        <v>880</v>
      </c>
      <c r="E660" t="s">
        <v>23</v>
      </c>
      <c r="F660" t="s">
        <v>24</v>
      </c>
      <c r="G660" s="3">
        <v>41508</v>
      </c>
      <c r="H660">
        <v>801093709</v>
      </c>
      <c r="I660" s="3">
        <v>41552</v>
      </c>
      <c r="J660">
        <v>285</v>
      </c>
      <c r="K660">
        <v>421.89</v>
      </c>
      <c r="L660">
        <v>364.69</v>
      </c>
      <c r="M660">
        <f t="shared" si="90"/>
        <v>120238.65</v>
      </c>
      <c r="N660">
        <f t="shared" si="91"/>
        <v>103936.65</v>
      </c>
      <c r="O660">
        <f t="shared" si="92"/>
        <v>16302</v>
      </c>
      <c r="P660" s="6">
        <f t="shared" si="93"/>
        <v>0.13558036455000119</v>
      </c>
      <c r="Q660">
        <f t="shared" si="94"/>
        <v>44</v>
      </c>
      <c r="R660">
        <f t="shared" si="95"/>
        <v>2013</v>
      </c>
      <c r="S660" t="str">
        <f t="shared" si="96"/>
        <v>August</v>
      </c>
      <c r="T660">
        <f t="shared" si="97"/>
        <v>8</v>
      </c>
      <c r="U660" t="str">
        <f t="shared" si="98"/>
        <v>Low Profit</v>
      </c>
    </row>
    <row r="661" spans="1:21" x14ac:dyDescent="0.35">
      <c r="A661" s="5" t="s">
        <v>37</v>
      </c>
      <c r="B661" s="5" t="s">
        <v>278</v>
      </c>
      <c r="C661" t="s">
        <v>39</v>
      </c>
      <c r="D661" t="s">
        <v>881</v>
      </c>
      <c r="E661" t="s">
        <v>23</v>
      </c>
      <c r="F661" t="s">
        <v>41</v>
      </c>
      <c r="G661" s="3">
        <v>41917</v>
      </c>
      <c r="H661">
        <v>903740775</v>
      </c>
      <c r="I661" s="3">
        <v>41935</v>
      </c>
      <c r="J661">
        <v>5833</v>
      </c>
      <c r="K661">
        <v>9.33</v>
      </c>
      <c r="L661">
        <v>6.92</v>
      </c>
      <c r="M661">
        <f t="shared" si="90"/>
        <v>54421.89</v>
      </c>
      <c r="N661">
        <f t="shared" si="91"/>
        <v>40364.36</v>
      </c>
      <c r="O661">
        <f t="shared" si="92"/>
        <v>14057.529999999999</v>
      </c>
      <c r="P661" s="6">
        <f t="shared" si="93"/>
        <v>0.25830653804930331</v>
      </c>
      <c r="Q661">
        <f t="shared" si="94"/>
        <v>18</v>
      </c>
      <c r="R661">
        <f t="shared" si="95"/>
        <v>2014</v>
      </c>
      <c r="S661" t="str">
        <f t="shared" si="96"/>
        <v>October</v>
      </c>
      <c r="T661">
        <f t="shared" si="97"/>
        <v>10</v>
      </c>
      <c r="U661" t="str">
        <f t="shared" si="98"/>
        <v>Low Profit</v>
      </c>
    </row>
    <row r="662" spans="1:21" x14ac:dyDescent="0.35">
      <c r="A662" s="5" t="s">
        <v>37</v>
      </c>
      <c r="B662" s="5" t="s">
        <v>348</v>
      </c>
      <c r="C662" t="s">
        <v>92</v>
      </c>
      <c r="D662" t="s">
        <v>882</v>
      </c>
      <c r="E662" t="s">
        <v>23</v>
      </c>
      <c r="F662" t="s">
        <v>66</v>
      </c>
      <c r="G662" s="3">
        <v>40482</v>
      </c>
      <c r="H662">
        <v>794969689</v>
      </c>
      <c r="I662" s="3">
        <v>40495</v>
      </c>
      <c r="J662">
        <v>8052</v>
      </c>
      <c r="K662">
        <v>421.89</v>
      </c>
      <c r="L662">
        <v>364.69</v>
      </c>
      <c r="M662">
        <f t="shared" si="90"/>
        <v>3397058.28</v>
      </c>
      <c r="N662">
        <f t="shared" si="91"/>
        <v>2936483.88</v>
      </c>
      <c r="O662">
        <f t="shared" si="92"/>
        <v>460574.39999999991</v>
      </c>
      <c r="P662" s="6">
        <f t="shared" si="93"/>
        <v>0.13558036455000116</v>
      </c>
      <c r="Q662">
        <f t="shared" si="94"/>
        <v>13</v>
      </c>
      <c r="R662">
        <f t="shared" si="95"/>
        <v>2010</v>
      </c>
      <c r="S662" t="str">
        <f t="shared" si="96"/>
        <v>October</v>
      </c>
      <c r="T662">
        <f t="shared" si="97"/>
        <v>10</v>
      </c>
      <c r="U662" t="str">
        <f t="shared" si="98"/>
        <v>Medium Profit</v>
      </c>
    </row>
    <row r="663" spans="1:21" x14ac:dyDescent="0.35">
      <c r="A663" s="5" t="s">
        <v>37</v>
      </c>
      <c r="B663" s="5" t="s">
        <v>275</v>
      </c>
      <c r="C663" t="s">
        <v>48</v>
      </c>
      <c r="D663" t="s">
        <v>883</v>
      </c>
      <c r="E663" t="s">
        <v>29</v>
      </c>
      <c r="F663" t="s">
        <v>66</v>
      </c>
      <c r="G663" s="3">
        <v>41240</v>
      </c>
      <c r="H663">
        <v>584204280</v>
      </c>
      <c r="I663" s="3">
        <v>41275</v>
      </c>
      <c r="J663">
        <v>7884</v>
      </c>
      <c r="K663">
        <v>109.28</v>
      </c>
      <c r="L663">
        <v>35.840000000000003</v>
      </c>
      <c r="M663">
        <f t="shared" si="90"/>
        <v>861563.52</v>
      </c>
      <c r="N663">
        <f t="shared" si="91"/>
        <v>282562.56000000006</v>
      </c>
      <c r="O663">
        <f t="shared" si="92"/>
        <v>579000.96</v>
      </c>
      <c r="P663" s="6">
        <f t="shared" si="93"/>
        <v>0.67203513909224011</v>
      </c>
      <c r="Q663">
        <f t="shared" si="94"/>
        <v>35</v>
      </c>
      <c r="R663">
        <f t="shared" si="95"/>
        <v>2012</v>
      </c>
      <c r="S663" t="str">
        <f t="shared" si="96"/>
        <v>November</v>
      </c>
      <c r="T663">
        <f t="shared" si="97"/>
        <v>11</v>
      </c>
      <c r="U663" t="str">
        <f t="shared" si="98"/>
        <v>High Profit</v>
      </c>
    </row>
    <row r="664" spans="1:21" x14ac:dyDescent="0.35">
      <c r="A664" s="5" t="s">
        <v>42</v>
      </c>
      <c r="B664" s="5" t="s">
        <v>405</v>
      </c>
      <c r="C664" t="s">
        <v>35</v>
      </c>
      <c r="D664" t="s">
        <v>884</v>
      </c>
      <c r="E664" t="s">
        <v>23</v>
      </c>
      <c r="F664" t="s">
        <v>41</v>
      </c>
      <c r="G664" s="3">
        <v>40320</v>
      </c>
      <c r="H664">
        <v>901180875</v>
      </c>
      <c r="I664" s="3">
        <v>40324</v>
      </c>
      <c r="J664">
        <v>8302</v>
      </c>
      <c r="K664">
        <v>205.7</v>
      </c>
      <c r="L664">
        <v>117.11</v>
      </c>
      <c r="M664">
        <f t="shared" si="90"/>
        <v>1707721.4</v>
      </c>
      <c r="N664">
        <f t="shared" si="91"/>
        <v>972247.22</v>
      </c>
      <c r="O664">
        <f t="shared" si="92"/>
        <v>735474.17999999993</v>
      </c>
      <c r="P664" s="6">
        <f t="shared" si="93"/>
        <v>0.43067574137092851</v>
      </c>
      <c r="Q664">
        <f t="shared" si="94"/>
        <v>4</v>
      </c>
      <c r="R664">
        <f t="shared" si="95"/>
        <v>2010</v>
      </c>
      <c r="S664" t="str">
        <f t="shared" si="96"/>
        <v>May</v>
      </c>
      <c r="T664">
        <f t="shared" si="97"/>
        <v>5</v>
      </c>
      <c r="U664" t="str">
        <f t="shared" si="98"/>
        <v>High Profit</v>
      </c>
    </row>
    <row r="665" spans="1:21" x14ac:dyDescent="0.35">
      <c r="A665" s="5" t="s">
        <v>42</v>
      </c>
      <c r="B665" s="5" t="s">
        <v>80</v>
      </c>
      <c r="C665" t="s">
        <v>58</v>
      </c>
      <c r="D665" t="s">
        <v>885</v>
      </c>
      <c r="E665" t="s">
        <v>23</v>
      </c>
      <c r="F665" t="s">
        <v>66</v>
      </c>
      <c r="G665" s="3">
        <v>41152</v>
      </c>
      <c r="H665">
        <v>645948302</v>
      </c>
      <c r="I665" s="3">
        <v>41181</v>
      </c>
      <c r="J665">
        <v>9312</v>
      </c>
      <c r="K665">
        <v>152.58000000000001</v>
      </c>
      <c r="L665">
        <v>97.44</v>
      </c>
      <c r="M665">
        <f t="shared" si="90"/>
        <v>1420824.9600000002</v>
      </c>
      <c r="N665">
        <f t="shared" si="91"/>
        <v>907361.28000000003</v>
      </c>
      <c r="O665">
        <f t="shared" si="92"/>
        <v>513463.68000000017</v>
      </c>
      <c r="P665" s="6">
        <f t="shared" si="93"/>
        <v>0.36138419189933157</v>
      </c>
      <c r="Q665">
        <f t="shared" si="94"/>
        <v>29</v>
      </c>
      <c r="R665">
        <f t="shared" si="95"/>
        <v>2012</v>
      </c>
      <c r="S665" t="str">
        <f t="shared" si="96"/>
        <v>August</v>
      </c>
      <c r="T665">
        <f t="shared" si="97"/>
        <v>8</v>
      </c>
      <c r="U665" t="str">
        <f t="shared" si="98"/>
        <v>High Profit</v>
      </c>
    </row>
    <row r="666" spans="1:21" x14ac:dyDescent="0.35">
      <c r="A666" s="5" t="s">
        <v>37</v>
      </c>
      <c r="B666" s="5" t="s">
        <v>115</v>
      </c>
      <c r="C666" t="s">
        <v>35</v>
      </c>
      <c r="D666" t="s">
        <v>886</v>
      </c>
      <c r="E666" t="s">
        <v>29</v>
      </c>
      <c r="F666" t="s">
        <v>66</v>
      </c>
      <c r="G666" s="3">
        <v>42027</v>
      </c>
      <c r="H666">
        <v>138867890</v>
      </c>
      <c r="I666" s="3">
        <v>42057</v>
      </c>
      <c r="J666">
        <v>2950</v>
      </c>
      <c r="K666">
        <v>205.7</v>
      </c>
      <c r="L666">
        <v>117.11</v>
      </c>
      <c r="M666">
        <f t="shared" si="90"/>
        <v>606815</v>
      </c>
      <c r="N666">
        <f t="shared" si="91"/>
        <v>345474.5</v>
      </c>
      <c r="O666">
        <f t="shared" si="92"/>
        <v>261340.5</v>
      </c>
      <c r="P666" s="6">
        <f t="shared" si="93"/>
        <v>0.43067574137092851</v>
      </c>
      <c r="Q666">
        <f t="shared" si="94"/>
        <v>30</v>
      </c>
      <c r="R666">
        <f t="shared" si="95"/>
        <v>2015</v>
      </c>
      <c r="S666" t="str">
        <f t="shared" si="96"/>
        <v>January</v>
      </c>
      <c r="T666">
        <f t="shared" si="97"/>
        <v>1</v>
      </c>
      <c r="U666" t="str">
        <f t="shared" si="98"/>
        <v>Medium Profit</v>
      </c>
    </row>
    <row r="667" spans="1:21" x14ac:dyDescent="0.35">
      <c r="A667" s="5" t="s">
        <v>37</v>
      </c>
      <c r="B667" s="5" t="s">
        <v>318</v>
      </c>
      <c r="C667" t="s">
        <v>72</v>
      </c>
      <c r="D667" t="s">
        <v>887</v>
      </c>
      <c r="E667" t="s">
        <v>23</v>
      </c>
      <c r="F667" t="s">
        <v>66</v>
      </c>
      <c r="G667" s="3">
        <v>40239</v>
      </c>
      <c r="H667">
        <v>670613467</v>
      </c>
      <c r="I667" s="3">
        <v>40258</v>
      </c>
      <c r="J667">
        <v>8282</v>
      </c>
      <c r="K667">
        <v>47.45</v>
      </c>
      <c r="L667">
        <v>31.79</v>
      </c>
      <c r="M667">
        <f t="shared" si="90"/>
        <v>392980.9</v>
      </c>
      <c r="N667">
        <f t="shared" si="91"/>
        <v>263284.77999999997</v>
      </c>
      <c r="O667">
        <f t="shared" si="92"/>
        <v>129696.12000000005</v>
      </c>
      <c r="P667" s="6">
        <f t="shared" si="93"/>
        <v>0.33003161222339317</v>
      </c>
      <c r="Q667">
        <f t="shared" si="94"/>
        <v>19</v>
      </c>
      <c r="R667">
        <f t="shared" si="95"/>
        <v>2010</v>
      </c>
      <c r="S667" t="str">
        <f t="shared" si="96"/>
        <v>March</v>
      </c>
      <c r="T667">
        <f t="shared" si="97"/>
        <v>3</v>
      </c>
      <c r="U667" t="str">
        <f t="shared" si="98"/>
        <v>Medium Profit</v>
      </c>
    </row>
    <row r="668" spans="1:21" x14ac:dyDescent="0.35">
      <c r="A668" s="5" t="s">
        <v>33</v>
      </c>
      <c r="B668" s="5" t="s">
        <v>836</v>
      </c>
      <c r="C668" t="s">
        <v>21</v>
      </c>
      <c r="D668" t="s">
        <v>888</v>
      </c>
      <c r="E668" t="s">
        <v>23</v>
      </c>
      <c r="F668" t="s">
        <v>66</v>
      </c>
      <c r="G668" s="3">
        <v>41768</v>
      </c>
      <c r="H668">
        <v>452171361</v>
      </c>
      <c r="I668" s="3">
        <v>41786</v>
      </c>
      <c r="J668">
        <v>6409</v>
      </c>
      <c r="K668">
        <v>437.2</v>
      </c>
      <c r="L668">
        <v>263.33</v>
      </c>
      <c r="M668">
        <f t="shared" si="90"/>
        <v>2802014.8</v>
      </c>
      <c r="N668">
        <f t="shared" si="91"/>
        <v>1687681.97</v>
      </c>
      <c r="O668">
        <f t="shared" si="92"/>
        <v>1114332.8299999998</v>
      </c>
      <c r="P668" s="6">
        <f t="shared" si="93"/>
        <v>0.39768984446477584</v>
      </c>
      <c r="Q668">
        <f t="shared" si="94"/>
        <v>18</v>
      </c>
      <c r="R668">
        <f t="shared" si="95"/>
        <v>2014</v>
      </c>
      <c r="S668" t="str">
        <f t="shared" si="96"/>
        <v>May</v>
      </c>
      <c r="T668">
        <f t="shared" si="97"/>
        <v>5</v>
      </c>
      <c r="U668" t="str">
        <f t="shared" si="98"/>
        <v>High Profit</v>
      </c>
    </row>
    <row r="669" spans="1:21" x14ac:dyDescent="0.35">
      <c r="A669" s="5" t="s">
        <v>53</v>
      </c>
      <c r="B669" s="5" t="s">
        <v>218</v>
      </c>
      <c r="C669" t="s">
        <v>58</v>
      </c>
      <c r="D669" t="s">
        <v>889</v>
      </c>
      <c r="E669" t="s">
        <v>29</v>
      </c>
      <c r="F669" t="s">
        <v>41</v>
      </c>
      <c r="G669" s="3">
        <v>40540</v>
      </c>
      <c r="H669">
        <v>464840400</v>
      </c>
      <c r="I669" s="3">
        <v>40579</v>
      </c>
      <c r="J669">
        <v>5459</v>
      </c>
      <c r="K669">
        <v>152.58000000000001</v>
      </c>
      <c r="L669">
        <v>97.44</v>
      </c>
      <c r="M669">
        <f t="shared" si="90"/>
        <v>832934.22000000009</v>
      </c>
      <c r="N669">
        <f t="shared" si="91"/>
        <v>531924.96</v>
      </c>
      <c r="O669">
        <f t="shared" si="92"/>
        <v>301009.26000000013</v>
      </c>
      <c r="P669" s="6">
        <f t="shared" si="93"/>
        <v>0.36138419189933163</v>
      </c>
      <c r="Q669">
        <f t="shared" si="94"/>
        <v>39</v>
      </c>
      <c r="R669">
        <f t="shared" si="95"/>
        <v>2010</v>
      </c>
      <c r="S669" t="str">
        <f t="shared" si="96"/>
        <v>December</v>
      </c>
      <c r="T669">
        <f t="shared" si="97"/>
        <v>12</v>
      </c>
      <c r="U669" t="str">
        <f t="shared" si="98"/>
        <v>Medium Profit</v>
      </c>
    </row>
    <row r="670" spans="1:21" x14ac:dyDescent="0.35">
      <c r="A670" s="5" t="s">
        <v>42</v>
      </c>
      <c r="B670" s="5" t="s">
        <v>113</v>
      </c>
      <c r="C670" t="s">
        <v>60</v>
      </c>
      <c r="D670" t="s">
        <v>890</v>
      </c>
      <c r="E670" t="s">
        <v>29</v>
      </c>
      <c r="F670" t="s">
        <v>24</v>
      </c>
      <c r="G670" s="3">
        <v>41931</v>
      </c>
      <c r="H670">
        <v>410231912</v>
      </c>
      <c r="I670" s="3">
        <v>41936</v>
      </c>
      <c r="J670">
        <v>5594</v>
      </c>
      <c r="K670">
        <v>668.27</v>
      </c>
      <c r="L670">
        <v>502.54</v>
      </c>
      <c r="M670">
        <f t="shared" si="90"/>
        <v>3738302.38</v>
      </c>
      <c r="N670">
        <f t="shared" si="91"/>
        <v>2811208.7600000002</v>
      </c>
      <c r="O670">
        <f t="shared" si="92"/>
        <v>927093.61999999965</v>
      </c>
      <c r="P670" s="6">
        <f t="shared" si="93"/>
        <v>0.24799856345489091</v>
      </c>
      <c r="Q670">
        <f t="shared" si="94"/>
        <v>5</v>
      </c>
      <c r="R670">
        <f t="shared" si="95"/>
        <v>2014</v>
      </c>
      <c r="S670" t="str">
        <f t="shared" si="96"/>
        <v>October</v>
      </c>
      <c r="T670">
        <f t="shared" si="97"/>
        <v>10</v>
      </c>
      <c r="U670" t="str">
        <f t="shared" si="98"/>
        <v>High Profit</v>
      </c>
    </row>
    <row r="671" spans="1:21" x14ac:dyDescent="0.35">
      <c r="A671" s="5" t="s">
        <v>37</v>
      </c>
      <c r="B671" s="5" t="s">
        <v>100</v>
      </c>
      <c r="C671" t="s">
        <v>92</v>
      </c>
      <c r="D671" t="s">
        <v>891</v>
      </c>
      <c r="E671" t="s">
        <v>23</v>
      </c>
      <c r="F671" t="s">
        <v>41</v>
      </c>
      <c r="G671" s="3">
        <v>42025</v>
      </c>
      <c r="H671">
        <v>960269725</v>
      </c>
      <c r="I671" s="3">
        <v>42057</v>
      </c>
      <c r="J671">
        <v>4006</v>
      </c>
      <c r="K671">
        <v>421.89</v>
      </c>
      <c r="L671">
        <v>364.69</v>
      </c>
      <c r="M671">
        <f t="shared" si="90"/>
        <v>1690091.3399999999</v>
      </c>
      <c r="N671">
        <f t="shared" si="91"/>
        <v>1460948.14</v>
      </c>
      <c r="O671">
        <f t="shared" si="92"/>
        <v>229143.19999999995</v>
      </c>
      <c r="P671" s="6">
        <f t="shared" si="93"/>
        <v>0.13558036455000116</v>
      </c>
      <c r="Q671">
        <f t="shared" si="94"/>
        <v>32</v>
      </c>
      <c r="R671">
        <f t="shared" si="95"/>
        <v>2015</v>
      </c>
      <c r="S671" t="str">
        <f t="shared" si="96"/>
        <v>January</v>
      </c>
      <c r="T671">
        <f t="shared" si="97"/>
        <v>1</v>
      </c>
      <c r="U671" t="str">
        <f t="shared" si="98"/>
        <v>Medium Profit</v>
      </c>
    </row>
    <row r="672" spans="1:21" x14ac:dyDescent="0.35">
      <c r="A672" s="5" t="s">
        <v>42</v>
      </c>
      <c r="B672" s="5" t="s">
        <v>249</v>
      </c>
      <c r="C672" t="s">
        <v>72</v>
      </c>
      <c r="D672" t="s">
        <v>892</v>
      </c>
      <c r="E672" t="s">
        <v>23</v>
      </c>
      <c r="F672" t="s">
        <v>66</v>
      </c>
      <c r="G672" s="3">
        <v>42829</v>
      </c>
      <c r="H672">
        <v>607190167</v>
      </c>
      <c r="I672" s="3">
        <v>42873</v>
      </c>
      <c r="J672">
        <v>9919</v>
      </c>
      <c r="K672">
        <v>47.45</v>
      </c>
      <c r="L672">
        <v>31.79</v>
      </c>
      <c r="M672">
        <f t="shared" si="90"/>
        <v>470656.55000000005</v>
      </c>
      <c r="N672">
        <f t="shared" si="91"/>
        <v>315325.01</v>
      </c>
      <c r="O672">
        <f t="shared" si="92"/>
        <v>155331.54000000004</v>
      </c>
      <c r="P672" s="6">
        <f t="shared" si="93"/>
        <v>0.33003161222339311</v>
      </c>
      <c r="Q672">
        <f t="shared" si="94"/>
        <v>44</v>
      </c>
      <c r="R672">
        <f t="shared" si="95"/>
        <v>2017</v>
      </c>
      <c r="S672" t="str">
        <f t="shared" si="96"/>
        <v>April</v>
      </c>
      <c r="T672">
        <f t="shared" si="97"/>
        <v>4</v>
      </c>
      <c r="U672" t="str">
        <f t="shared" si="98"/>
        <v>Medium Profit</v>
      </c>
    </row>
    <row r="673" spans="1:21" x14ac:dyDescent="0.35">
      <c r="A673" s="5" t="s">
        <v>19</v>
      </c>
      <c r="B673" s="5" t="s">
        <v>350</v>
      </c>
      <c r="C673" t="s">
        <v>92</v>
      </c>
      <c r="D673" t="s">
        <v>893</v>
      </c>
      <c r="E673" t="s">
        <v>23</v>
      </c>
      <c r="F673" t="s">
        <v>41</v>
      </c>
      <c r="G673" s="3">
        <v>42587</v>
      </c>
      <c r="H673">
        <v>613542068</v>
      </c>
      <c r="I673" s="3">
        <v>42593</v>
      </c>
      <c r="J673">
        <v>9587</v>
      </c>
      <c r="K673">
        <v>421.89</v>
      </c>
      <c r="L673">
        <v>364.69</v>
      </c>
      <c r="M673">
        <f t="shared" si="90"/>
        <v>4044659.4299999997</v>
      </c>
      <c r="N673">
        <f t="shared" si="91"/>
        <v>3496283.03</v>
      </c>
      <c r="O673">
        <f t="shared" si="92"/>
        <v>548376.39999999991</v>
      </c>
      <c r="P673" s="6">
        <f t="shared" si="93"/>
        <v>0.13558036455000116</v>
      </c>
      <c r="Q673">
        <f t="shared" si="94"/>
        <v>6</v>
      </c>
      <c r="R673">
        <f t="shared" si="95"/>
        <v>2016</v>
      </c>
      <c r="S673" t="str">
        <f t="shared" si="96"/>
        <v>August</v>
      </c>
      <c r="T673">
        <f t="shared" si="97"/>
        <v>8</v>
      </c>
      <c r="U673" t="str">
        <f t="shared" si="98"/>
        <v>High Profit</v>
      </c>
    </row>
    <row r="674" spans="1:21" x14ac:dyDescent="0.35">
      <c r="A674" s="5" t="s">
        <v>37</v>
      </c>
      <c r="B674" s="5" t="s">
        <v>100</v>
      </c>
      <c r="C674" t="s">
        <v>60</v>
      </c>
      <c r="D674" t="s">
        <v>894</v>
      </c>
      <c r="E674" t="s">
        <v>23</v>
      </c>
      <c r="F674" t="s">
        <v>32</v>
      </c>
      <c r="G674" s="3">
        <v>42700</v>
      </c>
      <c r="H674">
        <v>962186753</v>
      </c>
      <c r="I674" s="3">
        <v>42747</v>
      </c>
      <c r="J674">
        <v>1297</v>
      </c>
      <c r="K674">
        <v>668.27</v>
      </c>
      <c r="L674">
        <v>502.54</v>
      </c>
      <c r="M674">
        <f t="shared" si="90"/>
        <v>866746.19</v>
      </c>
      <c r="N674">
        <f t="shared" si="91"/>
        <v>651794.38</v>
      </c>
      <c r="O674">
        <f t="shared" si="92"/>
        <v>214951.80999999994</v>
      </c>
      <c r="P674" s="6">
        <f t="shared" si="93"/>
        <v>0.24799856345489094</v>
      </c>
      <c r="Q674">
        <f t="shared" si="94"/>
        <v>47</v>
      </c>
      <c r="R674">
        <f t="shared" si="95"/>
        <v>2016</v>
      </c>
      <c r="S674" t="str">
        <f t="shared" si="96"/>
        <v>November</v>
      </c>
      <c r="T674">
        <f t="shared" si="97"/>
        <v>11</v>
      </c>
      <c r="U674" t="str">
        <f t="shared" si="98"/>
        <v>Medium Profit</v>
      </c>
    </row>
    <row r="675" spans="1:21" x14ac:dyDescent="0.35">
      <c r="A675" s="5" t="s">
        <v>37</v>
      </c>
      <c r="B675" s="5" t="s">
        <v>178</v>
      </c>
      <c r="C675" t="s">
        <v>72</v>
      </c>
      <c r="D675" t="s">
        <v>895</v>
      </c>
      <c r="E675" t="s">
        <v>29</v>
      </c>
      <c r="F675" t="s">
        <v>66</v>
      </c>
      <c r="G675" s="3">
        <v>40809</v>
      </c>
      <c r="H675">
        <v>806298053</v>
      </c>
      <c r="I675" s="3">
        <v>40840</v>
      </c>
      <c r="J675">
        <v>366</v>
      </c>
      <c r="K675">
        <v>47.45</v>
      </c>
      <c r="L675">
        <v>31.79</v>
      </c>
      <c r="M675">
        <f t="shared" si="90"/>
        <v>17366.7</v>
      </c>
      <c r="N675">
        <f t="shared" si="91"/>
        <v>11635.14</v>
      </c>
      <c r="O675">
        <f t="shared" si="92"/>
        <v>5731.5600000000013</v>
      </c>
      <c r="P675" s="6">
        <f t="shared" si="93"/>
        <v>0.33003161222339311</v>
      </c>
      <c r="Q675">
        <f t="shared" si="94"/>
        <v>31</v>
      </c>
      <c r="R675">
        <f t="shared" si="95"/>
        <v>2011</v>
      </c>
      <c r="S675" t="str">
        <f t="shared" si="96"/>
        <v>September</v>
      </c>
      <c r="T675">
        <f t="shared" si="97"/>
        <v>9</v>
      </c>
      <c r="U675" t="str">
        <f t="shared" si="98"/>
        <v>Low Profit</v>
      </c>
    </row>
    <row r="676" spans="1:21" x14ac:dyDescent="0.35">
      <c r="A676" s="5" t="s">
        <v>37</v>
      </c>
      <c r="B676" s="5" t="s">
        <v>348</v>
      </c>
      <c r="C676" t="s">
        <v>83</v>
      </c>
      <c r="D676" t="s">
        <v>896</v>
      </c>
      <c r="E676" t="s">
        <v>29</v>
      </c>
      <c r="F676" t="s">
        <v>66</v>
      </c>
      <c r="G676" s="3">
        <v>40475</v>
      </c>
      <c r="H676">
        <v>719362294</v>
      </c>
      <c r="I676" s="3">
        <v>40515</v>
      </c>
      <c r="J676">
        <v>4144</v>
      </c>
      <c r="K676">
        <v>81.73</v>
      </c>
      <c r="L676">
        <v>56.67</v>
      </c>
      <c r="M676">
        <f t="shared" si="90"/>
        <v>338689.12</v>
      </c>
      <c r="N676">
        <f t="shared" si="91"/>
        <v>234840.48</v>
      </c>
      <c r="O676">
        <f t="shared" si="92"/>
        <v>103848.63999999998</v>
      </c>
      <c r="P676" s="6">
        <f t="shared" si="93"/>
        <v>0.30661935641747212</v>
      </c>
      <c r="Q676">
        <f t="shared" si="94"/>
        <v>40</v>
      </c>
      <c r="R676">
        <f t="shared" si="95"/>
        <v>2010</v>
      </c>
      <c r="S676" t="str">
        <f t="shared" si="96"/>
        <v>October</v>
      </c>
      <c r="T676">
        <f t="shared" si="97"/>
        <v>10</v>
      </c>
      <c r="U676" t="str">
        <f t="shared" si="98"/>
        <v>Medium Profit</v>
      </c>
    </row>
    <row r="677" spans="1:21" x14ac:dyDescent="0.35">
      <c r="A677" s="5" t="s">
        <v>42</v>
      </c>
      <c r="B677" s="5" t="s">
        <v>273</v>
      </c>
      <c r="C677" t="s">
        <v>30</v>
      </c>
      <c r="D677" t="s">
        <v>897</v>
      </c>
      <c r="E677" t="s">
        <v>29</v>
      </c>
      <c r="F677" t="s">
        <v>41</v>
      </c>
      <c r="G677" s="3">
        <v>41500</v>
      </c>
      <c r="H677">
        <v>445178306</v>
      </c>
      <c r="I677" s="3">
        <v>41539</v>
      </c>
      <c r="J677">
        <v>7008</v>
      </c>
      <c r="K677">
        <v>255.28</v>
      </c>
      <c r="L677">
        <v>159.41999999999999</v>
      </c>
      <c r="M677">
        <f t="shared" si="90"/>
        <v>1789002.24</v>
      </c>
      <c r="N677">
        <f t="shared" si="91"/>
        <v>1117215.3599999999</v>
      </c>
      <c r="O677">
        <f t="shared" si="92"/>
        <v>671786.88000000012</v>
      </c>
      <c r="P677" s="6">
        <f t="shared" si="93"/>
        <v>0.37550924475086189</v>
      </c>
      <c r="Q677">
        <f t="shared" si="94"/>
        <v>39</v>
      </c>
      <c r="R677">
        <f t="shared" si="95"/>
        <v>2013</v>
      </c>
      <c r="S677" t="str">
        <f t="shared" si="96"/>
        <v>August</v>
      </c>
      <c r="T677">
        <f t="shared" si="97"/>
        <v>8</v>
      </c>
      <c r="U677" t="str">
        <f t="shared" si="98"/>
        <v>High Profit</v>
      </c>
    </row>
    <row r="678" spans="1:21" x14ac:dyDescent="0.35">
      <c r="A678" s="5" t="s">
        <v>42</v>
      </c>
      <c r="B678" s="5" t="s">
        <v>822</v>
      </c>
      <c r="C678" t="s">
        <v>21</v>
      </c>
      <c r="D678" t="s">
        <v>898</v>
      </c>
      <c r="E678" t="s">
        <v>23</v>
      </c>
      <c r="F678" t="s">
        <v>32</v>
      </c>
      <c r="G678" s="3">
        <v>41309</v>
      </c>
      <c r="H678">
        <v>247857415</v>
      </c>
      <c r="I678" s="3">
        <v>41320</v>
      </c>
      <c r="J678">
        <v>5372</v>
      </c>
      <c r="K678">
        <v>437.2</v>
      </c>
      <c r="L678">
        <v>263.33</v>
      </c>
      <c r="M678">
        <f t="shared" si="90"/>
        <v>2348638.4</v>
      </c>
      <c r="N678">
        <f t="shared" si="91"/>
        <v>1414608.76</v>
      </c>
      <c r="O678">
        <f t="shared" si="92"/>
        <v>934029.6399999999</v>
      </c>
      <c r="P678" s="6">
        <f t="shared" si="93"/>
        <v>0.39768984446477584</v>
      </c>
      <c r="Q678">
        <f t="shared" si="94"/>
        <v>11</v>
      </c>
      <c r="R678">
        <f t="shared" si="95"/>
        <v>2013</v>
      </c>
      <c r="S678" t="str">
        <f t="shared" si="96"/>
        <v>February</v>
      </c>
      <c r="T678">
        <f t="shared" si="97"/>
        <v>2</v>
      </c>
      <c r="U678" t="str">
        <f t="shared" si="98"/>
        <v>High Profit</v>
      </c>
    </row>
    <row r="679" spans="1:21" x14ac:dyDescent="0.35">
      <c r="A679" s="5" t="s">
        <v>37</v>
      </c>
      <c r="B679" s="5" t="s">
        <v>275</v>
      </c>
      <c r="C679" t="s">
        <v>27</v>
      </c>
      <c r="D679" t="s">
        <v>899</v>
      </c>
      <c r="E679" t="s">
        <v>23</v>
      </c>
      <c r="F679" t="s">
        <v>32</v>
      </c>
      <c r="G679" s="3">
        <v>41862</v>
      </c>
      <c r="H679">
        <v>461823451</v>
      </c>
      <c r="I679" s="3">
        <v>41886</v>
      </c>
      <c r="J679">
        <v>2677</v>
      </c>
      <c r="K679">
        <v>154.06</v>
      </c>
      <c r="L679">
        <v>90.93</v>
      </c>
      <c r="M679">
        <f t="shared" si="90"/>
        <v>412418.62</v>
      </c>
      <c r="N679">
        <f t="shared" si="91"/>
        <v>243419.61000000002</v>
      </c>
      <c r="O679">
        <f t="shared" si="92"/>
        <v>168999.00999999998</v>
      </c>
      <c r="P679" s="6">
        <f t="shared" si="93"/>
        <v>0.40977541217707381</v>
      </c>
      <c r="Q679">
        <f t="shared" si="94"/>
        <v>24</v>
      </c>
      <c r="R679">
        <f t="shared" si="95"/>
        <v>2014</v>
      </c>
      <c r="S679" t="str">
        <f t="shared" si="96"/>
        <v>August</v>
      </c>
      <c r="T679">
        <f t="shared" si="97"/>
        <v>8</v>
      </c>
      <c r="U679" t="str">
        <f t="shared" si="98"/>
        <v>Medium Profit</v>
      </c>
    </row>
    <row r="680" spans="1:21" x14ac:dyDescent="0.35">
      <c r="A680" s="5" t="s">
        <v>42</v>
      </c>
      <c r="B680" s="5" t="s">
        <v>387</v>
      </c>
      <c r="C680" t="s">
        <v>69</v>
      </c>
      <c r="D680" t="s">
        <v>900</v>
      </c>
      <c r="E680" t="s">
        <v>23</v>
      </c>
      <c r="F680" t="s">
        <v>32</v>
      </c>
      <c r="G680" s="3">
        <v>42747</v>
      </c>
      <c r="H680">
        <v>141812741</v>
      </c>
      <c r="I680" s="3">
        <v>42759</v>
      </c>
      <c r="J680">
        <v>4396</v>
      </c>
      <c r="K680">
        <v>651.21</v>
      </c>
      <c r="L680">
        <v>524.96</v>
      </c>
      <c r="M680">
        <f t="shared" si="90"/>
        <v>2862719.16</v>
      </c>
      <c r="N680">
        <f t="shared" si="91"/>
        <v>2307724.16</v>
      </c>
      <c r="O680">
        <f t="shared" si="92"/>
        <v>554995</v>
      </c>
      <c r="P680" s="6">
        <f t="shared" si="93"/>
        <v>0.19386987300563566</v>
      </c>
      <c r="Q680">
        <f t="shared" si="94"/>
        <v>12</v>
      </c>
      <c r="R680">
        <f t="shared" si="95"/>
        <v>2017</v>
      </c>
      <c r="S680" t="str">
        <f t="shared" si="96"/>
        <v>January</v>
      </c>
      <c r="T680">
        <f t="shared" si="97"/>
        <v>1</v>
      </c>
      <c r="U680" t="str">
        <f t="shared" si="98"/>
        <v>High Profit</v>
      </c>
    </row>
    <row r="681" spans="1:21" x14ac:dyDescent="0.35">
      <c r="A681" s="5" t="s">
        <v>19</v>
      </c>
      <c r="B681" s="5" t="s">
        <v>350</v>
      </c>
      <c r="C681" t="s">
        <v>92</v>
      </c>
      <c r="D681" t="s">
        <v>901</v>
      </c>
      <c r="E681" t="s">
        <v>29</v>
      </c>
      <c r="F681" t="s">
        <v>32</v>
      </c>
      <c r="G681" s="3">
        <v>42554</v>
      </c>
      <c r="H681">
        <v>212874114</v>
      </c>
      <c r="I681" s="3">
        <v>42599</v>
      </c>
      <c r="J681">
        <v>3036</v>
      </c>
      <c r="K681">
        <v>421.89</v>
      </c>
      <c r="L681">
        <v>364.69</v>
      </c>
      <c r="M681">
        <f t="shared" si="90"/>
        <v>1280858.04</v>
      </c>
      <c r="N681">
        <f t="shared" si="91"/>
        <v>1107198.8400000001</v>
      </c>
      <c r="O681">
        <f t="shared" si="92"/>
        <v>173659.19999999995</v>
      </c>
      <c r="P681" s="6">
        <f t="shared" si="93"/>
        <v>0.13558036455000114</v>
      </c>
      <c r="Q681">
        <f t="shared" si="94"/>
        <v>45</v>
      </c>
      <c r="R681">
        <f t="shared" si="95"/>
        <v>2016</v>
      </c>
      <c r="S681" t="str">
        <f t="shared" si="96"/>
        <v>July</v>
      </c>
      <c r="T681">
        <f t="shared" si="97"/>
        <v>7</v>
      </c>
      <c r="U681" t="str">
        <f t="shared" si="98"/>
        <v>Medium Profit</v>
      </c>
    </row>
    <row r="682" spans="1:21" x14ac:dyDescent="0.35">
      <c r="A682" s="5" t="s">
        <v>50</v>
      </c>
      <c r="B682" s="5" t="s">
        <v>435</v>
      </c>
      <c r="C682" t="s">
        <v>69</v>
      </c>
      <c r="D682" t="s">
        <v>902</v>
      </c>
      <c r="E682" t="s">
        <v>23</v>
      </c>
      <c r="F682" t="s">
        <v>32</v>
      </c>
      <c r="G682" s="3">
        <v>40264</v>
      </c>
      <c r="H682">
        <v>320368897</v>
      </c>
      <c r="I682" s="3">
        <v>40270</v>
      </c>
      <c r="J682">
        <v>3131</v>
      </c>
      <c r="K682">
        <v>651.21</v>
      </c>
      <c r="L682">
        <v>524.96</v>
      </c>
      <c r="M682">
        <f t="shared" si="90"/>
        <v>2038938.51</v>
      </c>
      <c r="N682">
        <f t="shared" si="91"/>
        <v>1643649.76</v>
      </c>
      <c r="O682">
        <f t="shared" si="92"/>
        <v>395288.75</v>
      </c>
      <c r="P682" s="6">
        <f t="shared" si="93"/>
        <v>0.19386987300563566</v>
      </c>
      <c r="Q682">
        <f t="shared" si="94"/>
        <v>6</v>
      </c>
      <c r="R682">
        <f t="shared" si="95"/>
        <v>2010</v>
      </c>
      <c r="S682" t="str">
        <f t="shared" si="96"/>
        <v>March</v>
      </c>
      <c r="T682">
        <f t="shared" si="97"/>
        <v>3</v>
      </c>
      <c r="U682" t="str">
        <f t="shared" si="98"/>
        <v>Medium Profit</v>
      </c>
    </row>
    <row r="683" spans="1:21" x14ac:dyDescent="0.35">
      <c r="A683" s="5" t="s">
        <v>53</v>
      </c>
      <c r="B683" s="5" t="s">
        <v>218</v>
      </c>
      <c r="C683" t="s">
        <v>72</v>
      </c>
      <c r="D683" t="s">
        <v>903</v>
      </c>
      <c r="E683" t="s">
        <v>29</v>
      </c>
      <c r="F683" t="s">
        <v>32</v>
      </c>
      <c r="G683" s="3">
        <v>42160</v>
      </c>
      <c r="H683">
        <v>179970920</v>
      </c>
      <c r="I683" s="3">
        <v>42180</v>
      </c>
      <c r="J683">
        <v>6249</v>
      </c>
      <c r="K683">
        <v>47.45</v>
      </c>
      <c r="L683">
        <v>31.79</v>
      </c>
      <c r="M683">
        <f t="shared" si="90"/>
        <v>296515.05000000005</v>
      </c>
      <c r="N683">
        <f t="shared" si="91"/>
        <v>198655.71</v>
      </c>
      <c r="O683">
        <f t="shared" si="92"/>
        <v>97859.340000000055</v>
      </c>
      <c r="P683" s="6">
        <f t="shared" si="93"/>
        <v>0.33003161222339317</v>
      </c>
      <c r="Q683">
        <f t="shared" si="94"/>
        <v>20</v>
      </c>
      <c r="R683">
        <f t="shared" si="95"/>
        <v>2015</v>
      </c>
      <c r="S683" t="str">
        <f t="shared" si="96"/>
        <v>June</v>
      </c>
      <c r="T683">
        <f t="shared" si="97"/>
        <v>6</v>
      </c>
      <c r="U683" t="str">
        <f t="shared" si="98"/>
        <v>Low Profit</v>
      </c>
    </row>
    <row r="684" spans="1:21" x14ac:dyDescent="0.35">
      <c r="A684" s="5" t="s">
        <v>19</v>
      </c>
      <c r="B684" s="5" t="s">
        <v>310</v>
      </c>
      <c r="C684" t="s">
        <v>60</v>
      </c>
      <c r="D684" t="s">
        <v>904</v>
      </c>
      <c r="E684" t="s">
        <v>29</v>
      </c>
      <c r="F684" t="s">
        <v>41</v>
      </c>
      <c r="G684" s="3">
        <v>41087</v>
      </c>
      <c r="H684">
        <v>927666509</v>
      </c>
      <c r="I684" s="3">
        <v>41107</v>
      </c>
      <c r="J684">
        <v>5990</v>
      </c>
      <c r="K684">
        <v>668.27</v>
      </c>
      <c r="L684">
        <v>502.54</v>
      </c>
      <c r="M684">
        <f t="shared" si="90"/>
        <v>4002937.3</v>
      </c>
      <c r="N684">
        <f t="shared" si="91"/>
        <v>3010214.6</v>
      </c>
      <c r="O684">
        <f t="shared" si="92"/>
        <v>992722.69999999972</v>
      </c>
      <c r="P684" s="6">
        <f t="shared" si="93"/>
        <v>0.24799856345489094</v>
      </c>
      <c r="Q684">
        <f t="shared" si="94"/>
        <v>20</v>
      </c>
      <c r="R684">
        <f t="shared" si="95"/>
        <v>2012</v>
      </c>
      <c r="S684" t="str">
        <f t="shared" si="96"/>
        <v>June</v>
      </c>
      <c r="T684">
        <f t="shared" si="97"/>
        <v>6</v>
      </c>
      <c r="U684" t="str">
        <f t="shared" si="98"/>
        <v>High Profit</v>
      </c>
    </row>
    <row r="685" spans="1:21" x14ac:dyDescent="0.35">
      <c r="A685" s="5" t="s">
        <v>37</v>
      </c>
      <c r="B685" s="5" t="s">
        <v>330</v>
      </c>
      <c r="C685" t="s">
        <v>69</v>
      </c>
      <c r="D685" t="s">
        <v>905</v>
      </c>
      <c r="E685" t="s">
        <v>29</v>
      </c>
      <c r="F685" t="s">
        <v>66</v>
      </c>
      <c r="G685" s="3">
        <v>42723</v>
      </c>
      <c r="H685">
        <v>169754493</v>
      </c>
      <c r="I685" s="3">
        <v>42755</v>
      </c>
      <c r="J685">
        <v>2982</v>
      </c>
      <c r="K685">
        <v>651.21</v>
      </c>
      <c r="L685">
        <v>524.96</v>
      </c>
      <c r="M685">
        <f t="shared" si="90"/>
        <v>1941908.2200000002</v>
      </c>
      <c r="N685">
        <f t="shared" si="91"/>
        <v>1565430.7200000002</v>
      </c>
      <c r="O685">
        <f t="shared" si="92"/>
        <v>376477.5</v>
      </c>
      <c r="P685" s="6">
        <f t="shared" si="93"/>
        <v>0.19386987300563563</v>
      </c>
      <c r="Q685">
        <f t="shared" si="94"/>
        <v>32</v>
      </c>
      <c r="R685">
        <f t="shared" si="95"/>
        <v>2016</v>
      </c>
      <c r="S685" t="str">
        <f t="shared" si="96"/>
        <v>December</v>
      </c>
      <c r="T685">
        <f t="shared" si="97"/>
        <v>12</v>
      </c>
      <c r="U685" t="str">
        <f t="shared" si="98"/>
        <v>Medium Profit</v>
      </c>
    </row>
    <row r="686" spans="1:21" x14ac:dyDescent="0.35">
      <c r="A686" s="5" t="s">
        <v>53</v>
      </c>
      <c r="B686" s="5" t="s">
        <v>340</v>
      </c>
      <c r="C686" t="s">
        <v>83</v>
      </c>
      <c r="D686" t="s">
        <v>906</v>
      </c>
      <c r="E686" t="s">
        <v>23</v>
      </c>
      <c r="F686" t="s">
        <v>24</v>
      </c>
      <c r="G686" s="3">
        <v>42072</v>
      </c>
      <c r="H686">
        <v>532846200</v>
      </c>
      <c r="I686" s="3">
        <v>42114</v>
      </c>
      <c r="J686">
        <v>9886</v>
      </c>
      <c r="K686">
        <v>81.73</v>
      </c>
      <c r="L686">
        <v>56.67</v>
      </c>
      <c r="M686">
        <f t="shared" si="90"/>
        <v>807982.78</v>
      </c>
      <c r="N686">
        <f t="shared" si="91"/>
        <v>560239.62</v>
      </c>
      <c r="O686">
        <f t="shared" si="92"/>
        <v>247743.16000000003</v>
      </c>
      <c r="P686" s="6">
        <f t="shared" si="93"/>
        <v>0.30661935641747218</v>
      </c>
      <c r="Q686">
        <f t="shared" si="94"/>
        <v>42</v>
      </c>
      <c r="R686">
        <f t="shared" si="95"/>
        <v>2015</v>
      </c>
      <c r="S686" t="str">
        <f t="shared" si="96"/>
        <v>March</v>
      </c>
      <c r="T686">
        <f t="shared" si="97"/>
        <v>3</v>
      </c>
      <c r="U686" t="str">
        <f t="shared" si="98"/>
        <v>Medium Profit</v>
      </c>
    </row>
    <row r="687" spans="1:21" x14ac:dyDescent="0.35">
      <c r="A687" s="5" t="s">
        <v>50</v>
      </c>
      <c r="B687" s="5" t="s">
        <v>353</v>
      </c>
      <c r="C687" t="s">
        <v>58</v>
      </c>
      <c r="D687" t="s">
        <v>907</v>
      </c>
      <c r="E687" t="s">
        <v>29</v>
      </c>
      <c r="F687" t="s">
        <v>32</v>
      </c>
      <c r="G687" s="3">
        <v>41443</v>
      </c>
      <c r="H687">
        <v>213865458</v>
      </c>
      <c r="I687" s="3">
        <v>41468</v>
      </c>
      <c r="J687">
        <v>6397</v>
      </c>
      <c r="K687">
        <v>152.58000000000001</v>
      </c>
      <c r="L687">
        <v>97.44</v>
      </c>
      <c r="M687">
        <f t="shared" si="90"/>
        <v>976054.26000000013</v>
      </c>
      <c r="N687">
        <f t="shared" si="91"/>
        <v>623323.67999999993</v>
      </c>
      <c r="O687">
        <f t="shared" si="92"/>
        <v>352730.58000000019</v>
      </c>
      <c r="P687" s="6">
        <f t="shared" si="93"/>
        <v>0.36138419189933163</v>
      </c>
      <c r="Q687">
        <f t="shared" si="94"/>
        <v>25</v>
      </c>
      <c r="R687">
        <f t="shared" si="95"/>
        <v>2013</v>
      </c>
      <c r="S687" t="str">
        <f t="shared" si="96"/>
        <v>June</v>
      </c>
      <c r="T687">
        <f t="shared" si="97"/>
        <v>6</v>
      </c>
      <c r="U687" t="str">
        <f t="shared" si="98"/>
        <v>Medium Profit</v>
      </c>
    </row>
    <row r="688" spans="1:21" x14ac:dyDescent="0.35">
      <c r="A688" s="5" t="s">
        <v>33</v>
      </c>
      <c r="B688" s="5" t="s">
        <v>836</v>
      </c>
      <c r="C688" t="s">
        <v>69</v>
      </c>
      <c r="D688" t="s">
        <v>908</v>
      </c>
      <c r="E688" t="s">
        <v>29</v>
      </c>
      <c r="F688" t="s">
        <v>32</v>
      </c>
      <c r="G688" s="3">
        <v>40767</v>
      </c>
      <c r="H688">
        <v>630048596</v>
      </c>
      <c r="I688" s="3">
        <v>40789</v>
      </c>
      <c r="J688">
        <v>4236</v>
      </c>
      <c r="K688">
        <v>651.21</v>
      </c>
      <c r="L688">
        <v>524.96</v>
      </c>
      <c r="M688">
        <f t="shared" si="90"/>
        <v>2758525.56</v>
      </c>
      <c r="N688">
        <f t="shared" si="91"/>
        <v>2223730.56</v>
      </c>
      <c r="O688">
        <f t="shared" si="92"/>
        <v>534795</v>
      </c>
      <c r="P688" s="6">
        <f t="shared" si="93"/>
        <v>0.19386987300563566</v>
      </c>
      <c r="Q688">
        <f t="shared" si="94"/>
        <v>22</v>
      </c>
      <c r="R688">
        <f t="shared" si="95"/>
        <v>2011</v>
      </c>
      <c r="S688" t="str">
        <f t="shared" si="96"/>
        <v>August</v>
      </c>
      <c r="T688">
        <f t="shared" si="97"/>
        <v>8</v>
      </c>
      <c r="U688" t="str">
        <f t="shared" si="98"/>
        <v>High Profit</v>
      </c>
    </row>
    <row r="689" spans="1:21" x14ac:dyDescent="0.35">
      <c r="A689" s="5" t="s">
        <v>50</v>
      </c>
      <c r="B689" s="5" t="s">
        <v>420</v>
      </c>
      <c r="C689" t="s">
        <v>48</v>
      </c>
      <c r="D689" t="s">
        <v>909</v>
      </c>
      <c r="E689" t="s">
        <v>23</v>
      </c>
      <c r="F689" t="s">
        <v>41</v>
      </c>
      <c r="G689" s="3">
        <v>41746</v>
      </c>
      <c r="H689">
        <v>568944442</v>
      </c>
      <c r="I689" s="3">
        <v>41753</v>
      </c>
      <c r="J689">
        <v>2158</v>
      </c>
      <c r="K689">
        <v>109.28</v>
      </c>
      <c r="L689">
        <v>35.840000000000003</v>
      </c>
      <c r="M689">
        <f t="shared" si="90"/>
        <v>235826.24</v>
      </c>
      <c r="N689">
        <f t="shared" si="91"/>
        <v>77342.720000000001</v>
      </c>
      <c r="O689">
        <f t="shared" si="92"/>
        <v>158483.51999999999</v>
      </c>
      <c r="P689" s="6">
        <f t="shared" si="93"/>
        <v>0.67203513909224011</v>
      </c>
      <c r="Q689">
        <f t="shared" si="94"/>
        <v>7</v>
      </c>
      <c r="R689">
        <f t="shared" si="95"/>
        <v>2014</v>
      </c>
      <c r="S689" t="str">
        <f t="shared" si="96"/>
        <v>April</v>
      </c>
      <c r="T689">
        <f t="shared" si="97"/>
        <v>4</v>
      </c>
      <c r="U689" t="str">
        <f t="shared" si="98"/>
        <v>Medium Profit</v>
      </c>
    </row>
    <row r="690" spans="1:21" x14ac:dyDescent="0.35">
      <c r="A690" s="5" t="s">
        <v>37</v>
      </c>
      <c r="B690" s="5" t="s">
        <v>336</v>
      </c>
      <c r="C690" t="s">
        <v>30</v>
      </c>
      <c r="D690" t="s">
        <v>910</v>
      </c>
      <c r="E690" t="s">
        <v>29</v>
      </c>
      <c r="F690" t="s">
        <v>66</v>
      </c>
      <c r="G690" s="3">
        <v>40942</v>
      </c>
      <c r="H690">
        <v>238414323</v>
      </c>
      <c r="I690" s="3">
        <v>40966</v>
      </c>
      <c r="J690">
        <v>951</v>
      </c>
      <c r="K690">
        <v>255.28</v>
      </c>
      <c r="L690">
        <v>159.41999999999999</v>
      </c>
      <c r="M690">
        <f t="shared" si="90"/>
        <v>242771.28</v>
      </c>
      <c r="N690">
        <f t="shared" si="91"/>
        <v>151608.41999999998</v>
      </c>
      <c r="O690">
        <f t="shared" si="92"/>
        <v>91162.860000000015</v>
      </c>
      <c r="P690" s="6">
        <f t="shared" si="93"/>
        <v>0.37550924475086184</v>
      </c>
      <c r="Q690">
        <f t="shared" si="94"/>
        <v>24</v>
      </c>
      <c r="R690">
        <f t="shared" si="95"/>
        <v>2012</v>
      </c>
      <c r="S690" t="str">
        <f t="shared" si="96"/>
        <v>February</v>
      </c>
      <c r="T690">
        <f t="shared" si="97"/>
        <v>2</v>
      </c>
      <c r="U690" t="str">
        <f t="shared" si="98"/>
        <v>Low Profit</v>
      </c>
    </row>
    <row r="691" spans="1:21" x14ac:dyDescent="0.35">
      <c r="A691" s="5" t="s">
        <v>19</v>
      </c>
      <c r="B691" s="5" t="s">
        <v>350</v>
      </c>
      <c r="C691" t="s">
        <v>69</v>
      </c>
      <c r="D691" t="s">
        <v>911</v>
      </c>
      <c r="E691" t="s">
        <v>29</v>
      </c>
      <c r="F691" t="s">
        <v>66</v>
      </c>
      <c r="G691" s="3">
        <v>42217</v>
      </c>
      <c r="H691">
        <v>816632068</v>
      </c>
      <c r="I691" s="3">
        <v>42266</v>
      </c>
      <c r="J691">
        <v>8431</v>
      </c>
      <c r="K691">
        <v>651.21</v>
      </c>
      <c r="L691">
        <v>524.96</v>
      </c>
      <c r="M691">
        <f t="shared" si="90"/>
        <v>5490351.5100000007</v>
      </c>
      <c r="N691">
        <f t="shared" si="91"/>
        <v>4425937.7600000007</v>
      </c>
      <c r="O691">
        <f t="shared" si="92"/>
        <v>1064413.75</v>
      </c>
      <c r="P691" s="6">
        <f t="shared" si="93"/>
        <v>0.19386987300563563</v>
      </c>
      <c r="Q691">
        <f t="shared" si="94"/>
        <v>49</v>
      </c>
      <c r="R691">
        <f t="shared" si="95"/>
        <v>2015</v>
      </c>
      <c r="S691" t="str">
        <f t="shared" si="96"/>
        <v>August</v>
      </c>
      <c r="T691">
        <f t="shared" si="97"/>
        <v>8</v>
      </c>
      <c r="U691" t="str">
        <f t="shared" si="98"/>
        <v>High Profit</v>
      </c>
    </row>
    <row r="692" spans="1:21" x14ac:dyDescent="0.35">
      <c r="A692" s="5" t="s">
        <v>37</v>
      </c>
      <c r="B692" s="5" t="s">
        <v>466</v>
      </c>
      <c r="C692" t="s">
        <v>30</v>
      </c>
      <c r="D692" t="s">
        <v>912</v>
      </c>
      <c r="E692" t="s">
        <v>29</v>
      </c>
      <c r="F692" t="s">
        <v>32</v>
      </c>
      <c r="G692" s="3">
        <v>41528</v>
      </c>
      <c r="H692">
        <v>402084004</v>
      </c>
      <c r="I692" s="3">
        <v>41552</v>
      </c>
      <c r="J692">
        <v>4447</v>
      </c>
      <c r="K692">
        <v>255.28</v>
      </c>
      <c r="L692">
        <v>159.41999999999999</v>
      </c>
      <c r="M692">
        <f t="shared" si="90"/>
        <v>1135230.1599999999</v>
      </c>
      <c r="N692">
        <f t="shared" si="91"/>
        <v>708940.74</v>
      </c>
      <c r="O692">
        <f t="shared" si="92"/>
        <v>426289.41999999993</v>
      </c>
      <c r="P692" s="6">
        <f t="shared" si="93"/>
        <v>0.37550924475086178</v>
      </c>
      <c r="Q692">
        <f t="shared" si="94"/>
        <v>24</v>
      </c>
      <c r="R692">
        <f t="shared" si="95"/>
        <v>2013</v>
      </c>
      <c r="S692" t="str">
        <f t="shared" si="96"/>
        <v>September</v>
      </c>
      <c r="T692">
        <f t="shared" si="97"/>
        <v>9</v>
      </c>
      <c r="U692" t="str">
        <f t="shared" si="98"/>
        <v>Medium Profit</v>
      </c>
    </row>
    <row r="693" spans="1:21" x14ac:dyDescent="0.35">
      <c r="A693" s="5" t="s">
        <v>33</v>
      </c>
      <c r="B693" s="5" t="s">
        <v>189</v>
      </c>
      <c r="C693" t="s">
        <v>58</v>
      </c>
      <c r="D693" t="s">
        <v>913</v>
      </c>
      <c r="E693" t="s">
        <v>29</v>
      </c>
      <c r="F693" t="s">
        <v>66</v>
      </c>
      <c r="G693" s="3">
        <v>42132</v>
      </c>
      <c r="H693">
        <v>763568961</v>
      </c>
      <c r="I693" s="3">
        <v>42162</v>
      </c>
      <c r="J693">
        <v>5879</v>
      </c>
      <c r="K693">
        <v>152.58000000000001</v>
      </c>
      <c r="L693">
        <v>97.44</v>
      </c>
      <c r="M693">
        <f t="shared" si="90"/>
        <v>897017.82000000007</v>
      </c>
      <c r="N693">
        <f t="shared" si="91"/>
        <v>572849.76</v>
      </c>
      <c r="O693">
        <f t="shared" si="92"/>
        <v>324168.06000000006</v>
      </c>
      <c r="P693" s="6">
        <f t="shared" si="93"/>
        <v>0.36138419189933152</v>
      </c>
      <c r="Q693">
        <f t="shared" si="94"/>
        <v>30</v>
      </c>
      <c r="R693">
        <f t="shared" si="95"/>
        <v>2015</v>
      </c>
      <c r="S693" t="str">
        <f t="shared" si="96"/>
        <v>May</v>
      </c>
      <c r="T693">
        <f t="shared" si="97"/>
        <v>5</v>
      </c>
      <c r="U693" t="str">
        <f t="shared" si="98"/>
        <v>Medium Profit</v>
      </c>
    </row>
    <row r="694" spans="1:21" x14ac:dyDescent="0.35">
      <c r="A694" s="5" t="s">
        <v>50</v>
      </c>
      <c r="B694" s="5" t="s">
        <v>914</v>
      </c>
      <c r="C694" t="s">
        <v>58</v>
      </c>
      <c r="D694" t="s">
        <v>915</v>
      </c>
      <c r="E694" t="s">
        <v>23</v>
      </c>
      <c r="F694" t="s">
        <v>66</v>
      </c>
      <c r="G694" s="3">
        <v>42146</v>
      </c>
      <c r="H694">
        <v>590198266</v>
      </c>
      <c r="I694" s="3">
        <v>42156</v>
      </c>
      <c r="J694">
        <v>1637</v>
      </c>
      <c r="K694">
        <v>152.58000000000001</v>
      </c>
      <c r="L694">
        <v>97.44</v>
      </c>
      <c r="M694">
        <f t="shared" si="90"/>
        <v>249773.46000000002</v>
      </c>
      <c r="N694">
        <f t="shared" si="91"/>
        <v>159509.28</v>
      </c>
      <c r="O694">
        <f t="shared" si="92"/>
        <v>90264.180000000022</v>
      </c>
      <c r="P694" s="6">
        <f t="shared" si="93"/>
        <v>0.36138419189933157</v>
      </c>
      <c r="Q694">
        <f t="shared" si="94"/>
        <v>10</v>
      </c>
      <c r="R694">
        <f t="shared" si="95"/>
        <v>2015</v>
      </c>
      <c r="S694" t="str">
        <f t="shared" si="96"/>
        <v>May</v>
      </c>
      <c r="T694">
        <f t="shared" si="97"/>
        <v>5</v>
      </c>
      <c r="U694" t="str">
        <f t="shared" si="98"/>
        <v>Low Profit</v>
      </c>
    </row>
    <row r="695" spans="1:21" x14ac:dyDescent="0.35">
      <c r="A695" s="5" t="s">
        <v>33</v>
      </c>
      <c r="B695" s="5" t="s">
        <v>243</v>
      </c>
      <c r="C695" t="s">
        <v>58</v>
      </c>
      <c r="D695" t="s">
        <v>916</v>
      </c>
      <c r="E695" t="s">
        <v>29</v>
      </c>
      <c r="F695" t="s">
        <v>66</v>
      </c>
      <c r="G695" s="3">
        <v>41458</v>
      </c>
      <c r="H695">
        <v>441395747</v>
      </c>
      <c r="I695" s="3">
        <v>41505</v>
      </c>
      <c r="J695">
        <v>7665</v>
      </c>
      <c r="K695">
        <v>152.58000000000001</v>
      </c>
      <c r="L695">
        <v>97.44</v>
      </c>
      <c r="M695">
        <f t="shared" si="90"/>
        <v>1169525.7000000002</v>
      </c>
      <c r="N695">
        <f t="shared" si="91"/>
        <v>746877.6</v>
      </c>
      <c r="O695">
        <f t="shared" si="92"/>
        <v>422648.10000000021</v>
      </c>
      <c r="P695" s="6">
        <f t="shared" si="93"/>
        <v>0.36138419189933163</v>
      </c>
      <c r="Q695">
        <f t="shared" si="94"/>
        <v>47</v>
      </c>
      <c r="R695">
        <f t="shared" si="95"/>
        <v>2013</v>
      </c>
      <c r="S695" t="str">
        <f t="shared" si="96"/>
        <v>July</v>
      </c>
      <c r="T695">
        <f t="shared" si="97"/>
        <v>7</v>
      </c>
      <c r="U695" t="str">
        <f t="shared" si="98"/>
        <v>Medium Profit</v>
      </c>
    </row>
    <row r="696" spans="1:21" x14ac:dyDescent="0.35">
      <c r="A696" s="5" t="s">
        <v>42</v>
      </c>
      <c r="B696" s="5" t="s">
        <v>281</v>
      </c>
      <c r="C696" t="s">
        <v>83</v>
      </c>
      <c r="D696" t="s">
        <v>917</v>
      </c>
      <c r="E696" t="s">
        <v>23</v>
      </c>
      <c r="F696" t="s">
        <v>41</v>
      </c>
      <c r="G696" s="3">
        <v>40345</v>
      </c>
      <c r="H696">
        <v>496897733</v>
      </c>
      <c r="I696" s="3">
        <v>40380</v>
      </c>
      <c r="J696">
        <v>1936</v>
      </c>
      <c r="K696">
        <v>81.73</v>
      </c>
      <c r="L696">
        <v>56.67</v>
      </c>
      <c r="M696">
        <f t="shared" si="90"/>
        <v>158229.28</v>
      </c>
      <c r="N696">
        <f t="shared" si="91"/>
        <v>109713.12000000001</v>
      </c>
      <c r="O696">
        <f t="shared" si="92"/>
        <v>48516.159999999989</v>
      </c>
      <c r="P696" s="6">
        <f t="shared" si="93"/>
        <v>0.30661935641747212</v>
      </c>
      <c r="Q696">
        <f t="shared" si="94"/>
        <v>35</v>
      </c>
      <c r="R696">
        <f t="shared" si="95"/>
        <v>2010</v>
      </c>
      <c r="S696" t="str">
        <f t="shared" si="96"/>
        <v>June</v>
      </c>
      <c r="T696">
        <f t="shared" si="97"/>
        <v>6</v>
      </c>
      <c r="U696" t="str">
        <f t="shared" si="98"/>
        <v>Low Profit</v>
      </c>
    </row>
    <row r="697" spans="1:21" x14ac:dyDescent="0.35">
      <c r="A697" s="5" t="s">
        <v>50</v>
      </c>
      <c r="B697" s="5" t="s">
        <v>918</v>
      </c>
      <c r="C697" t="s">
        <v>72</v>
      </c>
      <c r="D697" t="s">
        <v>919</v>
      </c>
      <c r="E697" t="s">
        <v>29</v>
      </c>
      <c r="F697" t="s">
        <v>32</v>
      </c>
      <c r="G697" s="3">
        <v>40855</v>
      </c>
      <c r="H697">
        <v>106753051</v>
      </c>
      <c r="I697" s="3">
        <v>40861</v>
      </c>
      <c r="J697">
        <v>9455</v>
      </c>
      <c r="K697">
        <v>47.45</v>
      </c>
      <c r="L697">
        <v>31.79</v>
      </c>
      <c r="M697">
        <f t="shared" si="90"/>
        <v>448639.75</v>
      </c>
      <c r="N697">
        <f t="shared" si="91"/>
        <v>300574.45</v>
      </c>
      <c r="O697">
        <f t="shared" si="92"/>
        <v>148065.29999999999</v>
      </c>
      <c r="P697" s="6">
        <f t="shared" si="93"/>
        <v>0.330031612223393</v>
      </c>
      <c r="Q697">
        <f t="shared" si="94"/>
        <v>6</v>
      </c>
      <c r="R697">
        <f t="shared" si="95"/>
        <v>2011</v>
      </c>
      <c r="S697" t="str">
        <f t="shared" si="96"/>
        <v>November</v>
      </c>
      <c r="T697">
        <f t="shared" si="97"/>
        <v>11</v>
      </c>
      <c r="U697" t="str">
        <f t="shared" si="98"/>
        <v>Medium Profit</v>
      </c>
    </row>
    <row r="698" spans="1:21" x14ac:dyDescent="0.35">
      <c r="A698" s="5" t="s">
        <v>50</v>
      </c>
      <c r="B698" s="5" t="s">
        <v>51</v>
      </c>
      <c r="C698" t="s">
        <v>39</v>
      </c>
      <c r="D698" t="s">
        <v>920</v>
      </c>
      <c r="E698" t="s">
        <v>23</v>
      </c>
      <c r="F698" t="s">
        <v>66</v>
      </c>
      <c r="G698" s="3">
        <v>42660</v>
      </c>
      <c r="H698">
        <v>941323029</v>
      </c>
      <c r="I698" s="3">
        <v>42670</v>
      </c>
      <c r="J698">
        <v>7258</v>
      </c>
      <c r="K698">
        <v>9.33</v>
      </c>
      <c r="L698">
        <v>6.92</v>
      </c>
      <c r="M698">
        <f t="shared" si="90"/>
        <v>67717.14</v>
      </c>
      <c r="N698">
        <f t="shared" si="91"/>
        <v>50225.36</v>
      </c>
      <c r="O698">
        <f t="shared" si="92"/>
        <v>17491.78</v>
      </c>
      <c r="P698" s="6">
        <f t="shared" si="93"/>
        <v>0.25830653804930331</v>
      </c>
      <c r="Q698">
        <f t="shared" si="94"/>
        <v>10</v>
      </c>
      <c r="R698">
        <f t="shared" si="95"/>
        <v>2016</v>
      </c>
      <c r="S698" t="str">
        <f t="shared" si="96"/>
        <v>October</v>
      </c>
      <c r="T698">
        <f t="shared" si="97"/>
        <v>10</v>
      </c>
      <c r="U698" t="str">
        <f t="shared" si="98"/>
        <v>Low Profit</v>
      </c>
    </row>
    <row r="699" spans="1:21" x14ac:dyDescent="0.35">
      <c r="A699" s="5" t="s">
        <v>37</v>
      </c>
      <c r="B699" s="5" t="s">
        <v>62</v>
      </c>
      <c r="C699" t="s">
        <v>27</v>
      </c>
      <c r="D699" t="s">
        <v>921</v>
      </c>
      <c r="E699" t="s">
        <v>23</v>
      </c>
      <c r="F699" t="s">
        <v>24</v>
      </c>
      <c r="G699" s="3">
        <v>41672</v>
      </c>
      <c r="H699">
        <v>241281497</v>
      </c>
      <c r="I699" s="3">
        <v>41701</v>
      </c>
      <c r="J699">
        <v>9412</v>
      </c>
      <c r="K699">
        <v>154.06</v>
      </c>
      <c r="L699">
        <v>90.93</v>
      </c>
      <c r="M699">
        <f t="shared" si="90"/>
        <v>1450012.72</v>
      </c>
      <c r="N699">
        <f t="shared" si="91"/>
        <v>855833.16</v>
      </c>
      <c r="O699">
        <f t="shared" si="92"/>
        <v>594179.55999999994</v>
      </c>
      <c r="P699" s="6">
        <f t="shared" si="93"/>
        <v>0.40977541217707386</v>
      </c>
      <c r="Q699">
        <f t="shared" si="94"/>
        <v>29</v>
      </c>
      <c r="R699">
        <f t="shared" si="95"/>
        <v>2014</v>
      </c>
      <c r="S699" t="str">
        <f t="shared" si="96"/>
        <v>February</v>
      </c>
      <c r="T699">
        <f t="shared" si="97"/>
        <v>2</v>
      </c>
      <c r="U699" t="str">
        <f t="shared" si="98"/>
        <v>High Profit</v>
      </c>
    </row>
    <row r="700" spans="1:21" x14ac:dyDescent="0.35">
      <c r="A700" s="5" t="s">
        <v>37</v>
      </c>
      <c r="B700" s="5" t="s">
        <v>445</v>
      </c>
      <c r="C700" t="s">
        <v>92</v>
      </c>
      <c r="D700" t="s">
        <v>922</v>
      </c>
      <c r="E700" t="s">
        <v>23</v>
      </c>
      <c r="F700" t="s">
        <v>66</v>
      </c>
      <c r="G700" s="3">
        <v>42490</v>
      </c>
      <c r="H700">
        <v>267614781</v>
      </c>
      <c r="I700" s="3">
        <v>42502</v>
      </c>
      <c r="J700">
        <v>2016</v>
      </c>
      <c r="K700">
        <v>421.89</v>
      </c>
      <c r="L700">
        <v>364.69</v>
      </c>
      <c r="M700">
        <f t="shared" si="90"/>
        <v>850530.24</v>
      </c>
      <c r="N700">
        <f t="shared" si="91"/>
        <v>735215.04</v>
      </c>
      <c r="O700">
        <f t="shared" si="92"/>
        <v>115315.19999999995</v>
      </c>
      <c r="P700" s="6">
        <f t="shared" si="93"/>
        <v>0.13558036455000114</v>
      </c>
      <c r="Q700">
        <f t="shared" si="94"/>
        <v>12</v>
      </c>
      <c r="R700">
        <f t="shared" si="95"/>
        <v>2016</v>
      </c>
      <c r="S700" t="str">
        <f t="shared" si="96"/>
        <v>April</v>
      </c>
      <c r="T700">
        <f t="shared" si="97"/>
        <v>4</v>
      </c>
      <c r="U700" t="str">
        <f t="shared" si="98"/>
        <v>Medium Profit</v>
      </c>
    </row>
    <row r="701" spans="1:21" x14ac:dyDescent="0.35">
      <c r="A701" s="5" t="s">
        <v>50</v>
      </c>
      <c r="B701" s="5" t="s">
        <v>152</v>
      </c>
      <c r="C701" t="s">
        <v>21</v>
      </c>
      <c r="D701" t="s">
        <v>923</v>
      </c>
      <c r="E701" t="s">
        <v>23</v>
      </c>
      <c r="F701" t="s">
        <v>24</v>
      </c>
      <c r="G701" s="3">
        <v>40421</v>
      </c>
      <c r="H701">
        <v>651621711</v>
      </c>
      <c r="I701" s="3">
        <v>40467</v>
      </c>
      <c r="J701">
        <v>8200</v>
      </c>
      <c r="K701">
        <v>437.2</v>
      </c>
      <c r="L701">
        <v>263.33</v>
      </c>
      <c r="M701">
        <f t="shared" si="90"/>
        <v>3585040</v>
      </c>
      <c r="N701">
        <f t="shared" si="91"/>
        <v>2159306</v>
      </c>
      <c r="O701">
        <f t="shared" si="92"/>
        <v>1425734</v>
      </c>
      <c r="P701" s="6">
        <f t="shared" si="93"/>
        <v>0.39768984446477584</v>
      </c>
      <c r="Q701">
        <f t="shared" si="94"/>
        <v>46</v>
      </c>
      <c r="R701">
        <f t="shared" si="95"/>
        <v>2010</v>
      </c>
      <c r="S701" t="str">
        <f t="shared" si="96"/>
        <v>August</v>
      </c>
      <c r="T701">
        <f t="shared" si="97"/>
        <v>8</v>
      </c>
      <c r="U701" t="str">
        <f t="shared" si="98"/>
        <v>High Profit</v>
      </c>
    </row>
    <row r="702" spans="1:21" x14ac:dyDescent="0.35">
      <c r="A702" s="5" t="s">
        <v>42</v>
      </c>
      <c r="B702" s="5" t="s">
        <v>102</v>
      </c>
      <c r="C702" t="s">
        <v>83</v>
      </c>
      <c r="D702" t="s">
        <v>924</v>
      </c>
      <c r="E702" t="s">
        <v>29</v>
      </c>
      <c r="F702" t="s">
        <v>24</v>
      </c>
      <c r="G702" s="3">
        <v>42224</v>
      </c>
      <c r="H702">
        <v>644913613</v>
      </c>
      <c r="I702" s="3">
        <v>42254</v>
      </c>
      <c r="J702">
        <v>3124</v>
      </c>
      <c r="K702">
        <v>81.73</v>
      </c>
      <c r="L702">
        <v>56.67</v>
      </c>
      <c r="M702">
        <f t="shared" si="90"/>
        <v>255324.52000000002</v>
      </c>
      <c r="N702">
        <f t="shared" si="91"/>
        <v>177037.08000000002</v>
      </c>
      <c r="O702">
        <f t="shared" si="92"/>
        <v>78287.44</v>
      </c>
      <c r="P702" s="6">
        <f t="shared" si="93"/>
        <v>0.30661935641747218</v>
      </c>
      <c r="Q702">
        <f t="shared" si="94"/>
        <v>30</v>
      </c>
      <c r="R702">
        <f t="shared" si="95"/>
        <v>2015</v>
      </c>
      <c r="S702" t="str">
        <f t="shared" si="96"/>
        <v>August</v>
      </c>
      <c r="T702">
        <f t="shared" si="97"/>
        <v>8</v>
      </c>
      <c r="U702" t="str">
        <f t="shared" si="98"/>
        <v>Low Profit</v>
      </c>
    </row>
    <row r="703" spans="1:21" x14ac:dyDescent="0.35">
      <c r="A703" s="5" t="s">
        <v>37</v>
      </c>
      <c r="B703" s="5" t="s">
        <v>139</v>
      </c>
      <c r="C703" t="s">
        <v>35</v>
      </c>
      <c r="D703" t="s">
        <v>925</v>
      </c>
      <c r="E703" t="s">
        <v>23</v>
      </c>
      <c r="F703" t="s">
        <v>41</v>
      </c>
      <c r="G703" s="3">
        <v>42600</v>
      </c>
      <c r="H703">
        <v>469414317</v>
      </c>
      <c r="I703" s="3">
        <v>42601</v>
      </c>
      <c r="J703">
        <v>8983</v>
      </c>
      <c r="K703">
        <v>205.7</v>
      </c>
      <c r="L703">
        <v>117.11</v>
      </c>
      <c r="M703">
        <f t="shared" si="90"/>
        <v>1847803.0999999999</v>
      </c>
      <c r="N703">
        <f t="shared" si="91"/>
        <v>1051999.1299999999</v>
      </c>
      <c r="O703">
        <f t="shared" si="92"/>
        <v>795803.97</v>
      </c>
      <c r="P703" s="6">
        <f t="shared" si="93"/>
        <v>0.43067574137092857</v>
      </c>
      <c r="Q703">
        <f t="shared" si="94"/>
        <v>1</v>
      </c>
      <c r="R703">
        <f t="shared" si="95"/>
        <v>2016</v>
      </c>
      <c r="S703" t="str">
        <f t="shared" si="96"/>
        <v>August</v>
      </c>
      <c r="T703">
        <f t="shared" si="97"/>
        <v>8</v>
      </c>
      <c r="U703" t="str">
        <f t="shared" si="98"/>
        <v>High Profit</v>
      </c>
    </row>
    <row r="704" spans="1:21" x14ac:dyDescent="0.35">
      <c r="A704" s="5" t="s">
        <v>37</v>
      </c>
      <c r="B704" s="5" t="s">
        <v>115</v>
      </c>
      <c r="C704" t="s">
        <v>48</v>
      </c>
      <c r="D704" t="s">
        <v>926</v>
      </c>
      <c r="E704" t="s">
        <v>29</v>
      </c>
      <c r="F704" t="s">
        <v>66</v>
      </c>
      <c r="G704" s="3">
        <v>42173</v>
      </c>
      <c r="H704">
        <v>867360150</v>
      </c>
      <c r="I704" s="3">
        <v>42186</v>
      </c>
      <c r="J704">
        <v>9998</v>
      </c>
      <c r="K704">
        <v>109.28</v>
      </c>
      <c r="L704">
        <v>35.840000000000003</v>
      </c>
      <c r="M704">
        <f t="shared" si="90"/>
        <v>1092581.44</v>
      </c>
      <c r="N704">
        <f t="shared" si="91"/>
        <v>358328.32000000001</v>
      </c>
      <c r="O704">
        <f t="shared" si="92"/>
        <v>734253.11999999988</v>
      </c>
      <c r="P704" s="6">
        <f t="shared" si="93"/>
        <v>0.67203513909224</v>
      </c>
      <c r="Q704">
        <f t="shared" si="94"/>
        <v>13</v>
      </c>
      <c r="R704">
        <f t="shared" si="95"/>
        <v>2015</v>
      </c>
      <c r="S704" t="str">
        <f t="shared" si="96"/>
        <v>June</v>
      </c>
      <c r="T704">
        <f t="shared" si="97"/>
        <v>6</v>
      </c>
      <c r="U704" t="str">
        <f t="shared" si="98"/>
        <v>High Profit</v>
      </c>
    </row>
    <row r="705" spans="1:21" x14ac:dyDescent="0.35">
      <c r="A705" s="5" t="s">
        <v>25</v>
      </c>
      <c r="B705" s="5" t="s">
        <v>71</v>
      </c>
      <c r="C705" t="s">
        <v>48</v>
      </c>
      <c r="D705" t="s">
        <v>927</v>
      </c>
      <c r="E705" t="s">
        <v>29</v>
      </c>
      <c r="F705" t="s">
        <v>66</v>
      </c>
      <c r="G705" s="3">
        <v>40571</v>
      </c>
      <c r="H705">
        <v>851299941</v>
      </c>
      <c r="I705" s="3">
        <v>40575</v>
      </c>
      <c r="J705">
        <v>7425</v>
      </c>
      <c r="K705">
        <v>109.28</v>
      </c>
      <c r="L705">
        <v>35.840000000000003</v>
      </c>
      <c r="M705">
        <f t="shared" si="90"/>
        <v>811404</v>
      </c>
      <c r="N705">
        <f t="shared" si="91"/>
        <v>266112</v>
      </c>
      <c r="O705">
        <f t="shared" si="92"/>
        <v>545292</v>
      </c>
      <c r="P705" s="6">
        <f t="shared" si="93"/>
        <v>0.67203513909224011</v>
      </c>
      <c r="Q705">
        <f t="shared" si="94"/>
        <v>4</v>
      </c>
      <c r="R705">
        <f t="shared" si="95"/>
        <v>2011</v>
      </c>
      <c r="S705" t="str">
        <f t="shared" si="96"/>
        <v>January</v>
      </c>
      <c r="T705">
        <f t="shared" si="97"/>
        <v>1</v>
      </c>
      <c r="U705" t="str">
        <f t="shared" si="98"/>
        <v>High Profit</v>
      </c>
    </row>
    <row r="706" spans="1:21" x14ac:dyDescent="0.35">
      <c r="A706" s="5" t="s">
        <v>19</v>
      </c>
      <c r="B706" s="5" t="s">
        <v>20</v>
      </c>
      <c r="C706" t="s">
        <v>72</v>
      </c>
      <c r="D706" t="s">
        <v>928</v>
      </c>
      <c r="E706" t="s">
        <v>23</v>
      </c>
      <c r="F706" t="s">
        <v>41</v>
      </c>
      <c r="G706" s="3">
        <v>40578</v>
      </c>
      <c r="H706">
        <v>854095017</v>
      </c>
      <c r="I706" s="3">
        <v>40606</v>
      </c>
      <c r="J706">
        <v>4550</v>
      </c>
      <c r="K706">
        <v>47.45</v>
      </c>
      <c r="L706">
        <v>31.79</v>
      </c>
      <c r="M706">
        <f t="shared" si="90"/>
        <v>215897.5</v>
      </c>
      <c r="N706">
        <f t="shared" si="91"/>
        <v>144644.5</v>
      </c>
      <c r="O706">
        <f t="shared" si="92"/>
        <v>71253</v>
      </c>
      <c r="P706" s="6">
        <f t="shared" si="93"/>
        <v>0.33003161222339306</v>
      </c>
      <c r="Q706">
        <f t="shared" si="94"/>
        <v>28</v>
      </c>
      <c r="R706">
        <f t="shared" si="95"/>
        <v>2011</v>
      </c>
      <c r="S706" t="str">
        <f t="shared" si="96"/>
        <v>February</v>
      </c>
      <c r="T706">
        <f t="shared" si="97"/>
        <v>2</v>
      </c>
      <c r="U706" t="str">
        <f t="shared" si="98"/>
        <v>Low Profit</v>
      </c>
    </row>
    <row r="707" spans="1:21" x14ac:dyDescent="0.35">
      <c r="A707" s="5" t="s">
        <v>42</v>
      </c>
      <c r="B707" s="5" t="s">
        <v>113</v>
      </c>
      <c r="C707" t="s">
        <v>27</v>
      </c>
      <c r="D707" t="s">
        <v>929</v>
      </c>
      <c r="E707" t="s">
        <v>23</v>
      </c>
      <c r="F707" t="s">
        <v>32</v>
      </c>
      <c r="G707" s="3">
        <v>41216</v>
      </c>
      <c r="H707">
        <v>478919208</v>
      </c>
      <c r="I707" s="3">
        <v>41240</v>
      </c>
      <c r="J707">
        <v>1691</v>
      </c>
      <c r="K707">
        <v>154.06</v>
      </c>
      <c r="L707">
        <v>90.93</v>
      </c>
      <c r="M707">
        <f t="shared" ref="M707:M770" si="99">J707*K707</f>
        <v>260515.46</v>
      </c>
      <c r="N707">
        <f t="shared" ref="N707:N770" si="100">J707*L707</f>
        <v>153762.63</v>
      </c>
      <c r="O707">
        <f t="shared" ref="O707:O770" si="101">M707-N707</f>
        <v>106752.82999999999</v>
      </c>
      <c r="P707" s="6">
        <f t="shared" ref="P707:P770" si="102">O707/M707</f>
        <v>0.40977541217707381</v>
      </c>
      <c r="Q707">
        <f t="shared" ref="Q707:Q770" si="103">I707-G707</f>
        <v>24</v>
      </c>
      <c r="R707">
        <f t="shared" ref="R707:R770" si="104">YEAR(G707)</f>
        <v>2012</v>
      </c>
      <c r="S707" t="str">
        <f t="shared" ref="S707:S770" si="105">TEXT(G707,"mmmm")</f>
        <v>November</v>
      </c>
      <c r="T707">
        <f t="shared" ref="T707:T770" si="106">MONTH(G707)</f>
        <v>11</v>
      </c>
      <c r="U707" t="str">
        <f t="shared" ref="U707:U770" si="107">IF(O707&gt;=500000,"High Profit",
IF(O707&gt;=100000,"Medium Profit","Low Profit"))</f>
        <v>Medium Profit</v>
      </c>
    </row>
    <row r="708" spans="1:21" x14ac:dyDescent="0.35">
      <c r="A708" s="5" t="s">
        <v>19</v>
      </c>
      <c r="B708" s="5" t="s">
        <v>320</v>
      </c>
      <c r="C708" t="s">
        <v>48</v>
      </c>
      <c r="D708" t="s">
        <v>930</v>
      </c>
      <c r="E708" t="s">
        <v>23</v>
      </c>
      <c r="F708" t="s">
        <v>41</v>
      </c>
      <c r="G708" s="3">
        <v>41900</v>
      </c>
      <c r="H708">
        <v>749258840</v>
      </c>
      <c r="I708" s="3">
        <v>41948</v>
      </c>
      <c r="J708">
        <v>1196</v>
      </c>
      <c r="K708">
        <v>109.28</v>
      </c>
      <c r="L708">
        <v>35.840000000000003</v>
      </c>
      <c r="M708">
        <f t="shared" si="99"/>
        <v>130698.88</v>
      </c>
      <c r="N708">
        <f t="shared" si="100"/>
        <v>42864.640000000007</v>
      </c>
      <c r="O708">
        <f t="shared" si="101"/>
        <v>87834.239999999991</v>
      </c>
      <c r="P708" s="6">
        <f t="shared" si="102"/>
        <v>0.67203513909224</v>
      </c>
      <c r="Q708">
        <f t="shared" si="103"/>
        <v>48</v>
      </c>
      <c r="R708">
        <f t="shared" si="104"/>
        <v>2014</v>
      </c>
      <c r="S708" t="str">
        <f t="shared" si="105"/>
        <v>September</v>
      </c>
      <c r="T708">
        <f t="shared" si="106"/>
        <v>9</v>
      </c>
      <c r="U708" t="str">
        <f t="shared" si="107"/>
        <v>Low Profit</v>
      </c>
    </row>
    <row r="709" spans="1:21" x14ac:dyDescent="0.35">
      <c r="A709" s="5" t="s">
        <v>37</v>
      </c>
      <c r="B709" s="5" t="s">
        <v>466</v>
      </c>
      <c r="C709" t="s">
        <v>30</v>
      </c>
      <c r="D709" t="s">
        <v>931</v>
      </c>
      <c r="E709" t="s">
        <v>23</v>
      </c>
      <c r="F709" t="s">
        <v>41</v>
      </c>
      <c r="G709" s="3">
        <v>41046</v>
      </c>
      <c r="H709">
        <v>958912742</v>
      </c>
      <c r="I709" s="3">
        <v>41088</v>
      </c>
      <c r="J709">
        <v>2444</v>
      </c>
      <c r="K709">
        <v>255.28</v>
      </c>
      <c r="L709">
        <v>159.41999999999999</v>
      </c>
      <c r="M709">
        <f t="shared" si="99"/>
        <v>623904.31999999995</v>
      </c>
      <c r="N709">
        <f t="shared" si="100"/>
        <v>389622.48</v>
      </c>
      <c r="O709">
        <f t="shared" si="101"/>
        <v>234281.83999999997</v>
      </c>
      <c r="P709" s="6">
        <f t="shared" si="102"/>
        <v>0.37550924475086178</v>
      </c>
      <c r="Q709">
        <f t="shared" si="103"/>
        <v>42</v>
      </c>
      <c r="R709">
        <f t="shared" si="104"/>
        <v>2012</v>
      </c>
      <c r="S709" t="str">
        <f t="shared" si="105"/>
        <v>May</v>
      </c>
      <c r="T709">
        <f t="shared" si="106"/>
        <v>5</v>
      </c>
      <c r="U709" t="str">
        <f t="shared" si="107"/>
        <v>Medium Profit</v>
      </c>
    </row>
    <row r="710" spans="1:21" x14ac:dyDescent="0.35">
      <c r="A710" s="5" t="s">
        <v>50</v>
      </c>
      <c r="B710" s="5" t="s">
        <v>707</v>
      </c>
      <c r="C710" t="s">
        <v>83</v>
      </c>
      <c r="D710" t="s">
        <v>932</v>
      </c>
      <c r="E710" t="s">
        <v>29</v>
      </c>
      <c r="F710" t="s">
        <v>32</v>
      </c>
      <c r="G710" s="3">
        <v>40229</v>
      </c>
      <c r="H710">
        <v>921992242</v>
      </c>
      <c r="I710" s="3">
        <v>40241</v>
      </c>
      <c r="J710">
        <v>6848</v>
      </c>
      <c r="K710">
        <v>81.73</v>
      </c>
      <c r="L710">
        <v>56.67</v>
      </c>
      <c r="M710">
        <f t="shared" si="99"/>
        <v>559687.04</v>
      </c>
      <c r="N710">
        <f t="shared" si="100"/>
        <v>388076.16000000003</v>
      </c>
      <c r="O710">
        <f t="shared" si="101"/>
        <v>171610.88</v>
      </c>
      <c r="P710" s="6">
        <f t="shared" si="102"/>
        <v>0.30661935641747218</v>
      </c>
      <c r="Q710">
        <f t="shared" si="103"/>
        <v>12</v>
      </c>
      <c r="R710">
        <f t="shared" si="104"/>
        <v>2010</v>
      </c>
      <c r="S710" t="str">
        <f t="shared" si="105"/>
        <v>February</v>
      </c>
      <c r="T710">
        <f t="shared" si="106"/>
        <v>2</v>
      </c>
      <c r="U710" t="str">
        <f t="shared" si="107"/>
        <v>Medium Profit</v>
      </c>
    </row>
    <row r="711" spans="1:21" x14ac:dyDescent="0.35">
      <c r="A711" s="5" t="s">
        <v>37</v>
      </c>
      <c r="B711" s="5" t="s">
        <v>115</v>
      </c>
      <c r="C711" t="s">
        <v>27</v>
      </c>
      <c r="D711" t="s">
        <v>933</v>
      </c>
      <c r="E711" t="s">
        <v>29</v>
      </c>
      <c r="F711" t="s">
        <v>66</v>
      </c>
      <c r="G711" s="3">
        <v>42794</v>
      </c>
      <c r="H711">
        <v>522921168</v>
      </c>
      <c r="I711" s="3">
        <v>42796</v>
      </c>
      <c r="J711">
        <v>2849</v>
      </c>
      <c r="K711">
        <v>154.06</v>
      </c>
      <c r="L711">
        <v>90.93</v>
      </c>
      <c r="M711">
        <f t="shared" si="99"/>
        <v>438916.94</v>
      </c>
      <c r="N711">
        <f t="shared" si="100"/>
        <v>259059.57</v>
      </c>
      <c r="O711">
        <f t="shared" si="101"/>
        <v>179857.37</v>
      </c>
      <c r="P711" s="6">
        <f t="shared" si="102"/>
        <v>0.40977541217707386</v>
      </c>
      <c r="Q711">
        <f t="shared" si="103"/>
        <v>2</v>
      </c>
      <c r="R711">
        <f t="shared" si="104"/>
        <v>2017</v>
      </c>
      <c r="S711" t="str">
        <f t="shared" si="105"/>
        <v>February</v>
      </c>
      <c r="T711">
        <f t="shared" si="106"/>
        <v>2</v>
      </c>
      <c r="U711" t="str">
        <f t="shared" si="107"/>
        <v>Medium Profit</v>
      </c>
    </row>
    <row r="712" spans="1:21" x14ac:dyDescent="0.35">
      <c r="A712" s="5" t="s">
        <v>42</v>
      </c>
      <c r="B712" s="5" t="s">
        <v>379</v>
      </c>
      <c r="C712" t="s">
        <v>83</v>
      </c>
      <c r="D712" t="s">
        <v>934</v>
      </c>
      <c r="E712" t="s">
        <v>23</v>
      </c>
      <c r="F712" t="s">
        <v>32</v>
      </c>
      <c r="G712" s="3">
        <v>41411</v>
      </c>
      <c r="H712">
        <v>166435849</v>
      </c>
      <c r="I712" s="3">
        <v>41432</v>
      </c>
      <c r="J712">
        <v>921</v>
      </c>
      <c r="K712">
        <v>81.73</v>
      </c>
      <c r="L712">
        <v>56.67</v>
      </c>
      <c r="M712">
        <f t="shared" si="99"/>
        <v>75273.33</v>
      </c>
      <c r="N712">
        <f t="shared" si="100"/>
        <v>52193.07</v>
      </c>
      <c r="O712">
        <f t="shared" si="101"/>
        <v>23080.260000000002</v>
      </c>
      <c r="P712" s="6">
        <f t="shared" si="102"/>
        <v>0.30661935641747218</v>
      </c>
      <c r="Q712">
        <f t="shared" si="103"/>
        <v>21</v>
      </c>
      <c r="R712">
        <f t="shared" si="104"/>
        <v>2013</v>
      </c>
      <c r="S712" t="str">
        <f t="shared" si="105"/>
        <v>May</v>
      </c>
      <c r="T712">
        <f t="shared" si="106"/>
        <v>5</v>
      </c>
      <c r="U712" t="str">
        <f t="shared" si="107"/>
        <v>Low Profit</v>
      </c>
    </row>
    <row r="713" spans="1:21" x14ac:dyDescent="0.35">
      <c r="A713" s="5" t="s">
        <v>50</v>
      </c>
      <c r="B713" s="5" t="s">
        <v>918</v>
      </c>
      <c r="C713" t="s">
        <v>30</v>
      </c>
      <c r="D713" t="s">
        <v>935</v>
      </c>
      <c r="E713" t="s">
        <v>23</v>
      </c>
      <c r="F713" t="s">
        <v>66</v>
      </c>
      <c r="G713" s="3">
        <v>41587</v>
      </c>
      <c r="H713">
        <v>327585113</v>
      </c>
      <c r="I713" s="3">
        <v>41601</v>
      </c>
      <c r="J713">
        <v>8569</v>
      </c>
      <c r="K713">
        <v>255.28</v>
      </c>
      <c r="L713">
        <v>159.41999999999999</v>
      </c>
      <c r="M713">
        <f t="shared" si="99"/>
        <v>2187494.3199999998</v>
      </c>
      <c r="N713">
        <f t="shared" si="100"/>
        <v>1366069.98</v>
      </c>
      <c r="O713">
        <f t="shared" si="101"/>
        <v>821424.33999999985</v>
      </c>
      <c r="P713" s="6">
        <f t="shared" si="102"/>
        <v>0.37550924475086178</v>
      </c>
      <c r="Q713">
        <f t="shared" si="103"/>
        <v>14</v>
      </c>
      <c r="R713">
        <f t="shared" si="104"/>
        <v>2013</v>
      </c>
      <c r="S713" t="str">
        <f t="shared" si="105"/>
        <v>November</v>
      </c>
      <c r="T713">
        <f t="shared" si="106"/>
        <v>11</v>
      </c>
      <c r="U713" t="str">
        <f t="shared" si="107"/>
        <v>High Profit</v>
      </c>
    </row>
    <row r="714" spans="1:21" x14ac:dyDescent="0.35">
      <c r="A714" s="5" t="s">
        <v>37</v>
      </c>
      <c r="B714" s="5" t="s">
        <v>164</v>
      </c>
      <c r="C714" t="s">
        <v>48</v>
      </c>
      <c r="D714" t="s">
        <v>936</v>
      </c>
      <c r="E714" t="s">
        <v>23</v>
      </c>
      <c r="F714" t="s">
        <v>24</v>
      </c>
      <c r="G714" s="3">
        <v>40918</v>
      </c>
      <c r="H714">
        <v>201730287</v>
      </c>
      <c r="I714" s="3">
        <v>40958</v>
      </c>
      <c r="J714">
        <v>5330</v>
      </c>
      <c r="K714">
        <v>109.28</v>
      </c>
      <c r="L714">
        <v>35.840000000000003</v>
      </c>
      <c r="M714">
        <f t="shared" si="99"/>
        <v>582462.4</v>
      </c>
      <c r="N714">
        <f t="shared" si="100"/>
        <v>191027.20000000001</v>
      </c>
      <c r="O714">
        <f t="shared" si="101"/>
        <v>391435.2</v>
      </c>
      <c r="P714" s="6">
        <f t="shared" si="102"/>
        <v>0.67203513909224011</v>
      </c>
      <c r="Q714">
        <f t="shared" si="103"/>
        <v>40</v>
      </c>
      <c r="R714">
        <f t="shared" si="104"/>
        <v>2012</v>
      </c>
      <c r="S714" t="str">
        <f t="shared" si="105"/>
        <v>January</v>
      </c>
      <c r="T714">
        <f t="shared" si="106"/>
        <v>1</v>
      </c>
      <c r="U714" t="str">
        <f t="shared" si="107"/>
        <v>Medium Profit</v>
      </c>
    </row>
    <row r="715" spans="1:21" x14ac:dyDescent="0.35">
      <c r="A715" s="5" t="s">
        <v>50</v>
      </c>
      <c r="B715" s="5" t="s">
        <v>109</v>
      </c>
      <c r="C715" t="s">
        <v>39</v>
      </c>
      <c r="D715" t="s">
        <v>937</v>
      </c>
      <c r="E715" t="s">
        <v>23</v>
      </c>
      <c r="F715" t="s">
        <v>66</v>
      </c>
      <c r="G715" s="3">
        <v>41541</v>
      </c>
      <c r="H715">
        <v>854545199</v>
      </c>
      <c r="I715" s="3">
        <v>41587</v>
      </c>
      <c r="J715">
        <v>7769</v>
      </c>
      <c r="K715">
        <v>9.33</v>
      </c>
      <c r="L715">
        <v>6.92</v>
      </c>
      <c r="M715">
        <f t="shared" si="99"/>
        <v>72484.77</v>
      </c>
      <c r="N715">
        <f t="shared" si="100"/>
        <v>53761.479999999996</v>
      </c>
      <c r="O715">
        <f t="shared" si="101"/>
        <v>18723.290000000008</v>
      </c>
      <c r="P715" s="6">
        <f t="shared" si="102"/>
        <v>0.25830653804930342</v>
      </c>
      <c r="Q715">
        <f t="shared" si="103"/>
        <v>46</v>
      </c>
      <c r="R715">
        <f t="shared" si="104"/>
        <v>2013</v>
      </c>
      <c r="S715" t="str">
        <f t="shared" si="105"/>
        <v>September</v>
      </c>
      <c r="T715">
        <f t="shared" si="106"/>
        <v>9</v>
      </c>
      <c r="U715" t="str">
        <f t="shared" si="107"/>
        <v>Low Profit</v>
      </c>
    </row>
    <row r="716" spans="1:21" x14ac:dyDescent="0.35">
      <c r="A716" s="5" t="s">
        <v>50</v>
      </c>
      <c r="B716" s="5" t="s">
        <v>87</v>
      </c>
      <c r="C716" t="s">
        <v>83</v>
      </c>
      <c r="D716" t="s">
        <v>938</v>
      </c>
      <c r="E716" t="s">
        <v>29</v>
      </c>
      <c r="F716" t="s">
        <v>24</v>
      </c>
      <c r="G716" s="3">
        <v>40447</v>
      </c>
      <c r="H716">
        <v>272016179</v>
      </c>
      <c r="I716" s="3">
        <v>40490</v>
      </c>
      <c r="J716">
        <v>4487</v>
      </c>
      <c r="K716">
        <v>81.73</v>
      </c>
      <c r="L716">
        <v>56.67</v>
      </c>
      <c r="M716">
        <f t="shared" si="99"/>
        <v>366722.51</v>
      </c>
      <c r="N716">
        <f t="shared" si="100"/>
        <v>254278.29</v>
      </c>
      <c r="O716">
        <f t="shared" si="101"/>
        <v>112444.22</v>
      </c>
      <c r="P716" s="6">
        <f t="shared" si="102"/>
        <v>0.30661935641747218</v>
      </c>
      <c r="Q716">
        <f t="shared" si="103"/>
        <v>43</v>
      </c>
      <c r="R716">
        <f t="shared" si="104"/>
        <v>2010</v>
      </c>
      <c r="S716" t="str">
        <f t="shared" si="105"/>
        <v>September</v>
      </c>
      <c r="T716">
        <f t="shared" si="106"/>
        <v>9</v>
      </c>
      <c r="U716" t="str">
        <f t="shared" si="107"/>
        <v>Medium Profit</v>
      </c>
    </row>
    <row r="717" spans="1:21" x14ac:dyDescent="0.35">
      <c r="A717" s="5" t="s">
        <v>50</v>
      </c>
      <c r="B717" s="5" t="s">
        <v>456</v>
      </c>
      <c r="C717" t="s">
        <v>35</v>
      </c>
      <c r="D717" t="s">
        <v>939</v>
      </c>
      <c r="E717" t="s">
        <v>23</v>
      </c>
      <c r="F717" t="s">
        <v>41</v>
      </c>
      <c r="G717" s="3">
        <v>41933</v>
      </c>
      <c r="H717">
        <v>110442054</v>
      </c>
      <c r="I717" s="3">
        <v>41963</v>
      </c>
      <c r="J717">
        <v>1113</v>
      </c>
      <c r="K717">
        <v>205.7</v>
      </c>
      <c r="L717">
        <v>117.11</v>
      </c>
      <c r="M717">
        <f t="shared" si="99"/>
        <v>228944.09999999998</v>
      </c>
      <c r="N717">
        <f t="shared" si="100"/>
        <v>130343.43</v>
      </c>
      <c r="O717">
        <f t="shared" si="101"/>
        <v>98600.669999999984</v>
      </c>
      <c r="P717" s="6">
        <f t="shared" si="102"/>
        <v>0.43067574137092851</v>
      </c>
      <c r="Q717">
        <f t="shared" si="103"/>
        <v>30</v>
      </c>
      <c r="R717">
        <f t="shared" si="104"/>
        <v>2014</v>
      </c>
      <c r="S717" t="str">
        <f t="shared" si="105"/>
        <v>October</v>
      </c>
      <c r="T717">
        <f t="shared" si="106"/>
        <v>10</v>
      </c>
      <c r="U717" t="str">
        <f t="shared" si="107"/>
        <v>Low Profit</v>
      </c>
    </row>
    <row r="718" spans="1:21" x14ac:dyDescent="0.35">
      <c r="A718" s="5" t="s">
        <v>42</v>
      </c>
      <c r="B718" s="5" t="s">
        <v>586</v>
      </c>
      <c r="C718" t="s">
        <v>60</v>
      </c>
      <c r="D718" t="s">
        <v>940</v>
      </c>
      <c r="E718" t="s">
        <v>23</v>
      </c>
      <c r="F718" t="s">
        <v>32</v>
      </c>
      <c r="G718" s="3">
        <v>42386</v>
      </c>
      <c r="H718">
        <v>746434152</v>
      </c>
      <c r="I718" s="3">
        <v>42405</v>
      </c>
      <c r="J718">
        <v>5308</v>
      </c>
      <c r="K718">
        <v>668.27</v>
      </c>
      <c r="L718">
        <v>502.54</v>
      </c>
      <c r="M718">
        <f t="shared" si="99"/>
        <v>3547177.1599999997</v>
      </c>
      <c r="N718">
        <f t="shared" si="100"/>
        <v>2667482.3200000003</v>
      </c>
      <c r="O718">
        <f t="shared" si="101"/>
        <v>879694.83999999939</v>
      </c>
      <c r="P718" s="6">
        <f t="shared" si="102"/>
        <v>0.24799856345489082</v>
      </c>
      <c r="Q718">
        <f t="shared" si="103"/>
        <v>19</v>
      </c>
      <c r="R718">
        <f t="shared" si="104"/>
        <v>2016</v>
      </c>
      <c r="S718" t="str">
        <f t="shared" si="105"/>
        <v>January</v>
      </c>
      <c r="T718">
        <f t="shared" si="106"/>
        <v>1</v>
      </c>
      <c r="U718" t="str">
        <f t="shared" si="107"/>
        <v>High Profit</v>
      </c>
    </row>
    <row r="719" spans="1:21" x14ac:dyDescent="0.35">
      <c r="A719" s="5" t="s">
        <v>42</v>
      </c>
      <c r="B719" s="5" t="s">
        <v>68</v>
      </c>
      <c r="C719" t="s">
        <v>27</v>
      </c>
      <c r="D719" t="s">
        <v>941</v>
      </c>
      <c r="E719" t="s">
        <v>29</v>
      </c>
      <c r="F719" t="s">
        <v>66</v>
      </c>
      <c r="G719" s="3">
        <v>42731</v>
      </c>
      <c r="H719">
        <v>826916301</v>
      </c>
      <c r="I719" s="3">
        <v>42742</v>
      </c>
      <c r="J719">
        <v>1764</v>
      </c>
      <c r="K719">
        <v>154.06</v>
      </c>
      <c r="L719">
        <v>90.93</v>
      </c>
      <c r="M719">
        <f t="shared" si="99"/>
        <v>271761.84000000003</v>
      </c>
      <c r="N719">
        <f t="shared" si="100"/>
        <v>160400.52000000002</v>
      </c>
      <c r="O719">
        <f t="shared" si="101"/>
        <v>111361.32</v>
      </c>
      <c r="P719" s="6">
        <f t="shared" si="102"/>
        <v>0.40977541217707386</v>
      </c>
      <c r="Q719">
        <f t="shared" si="103"/>
        <v>11</v>
      </c>
      <c r="R719">
        <f t="shared" si="104"/>
        <v>2016</v>
      </c>
      <c r="S719" t="str">
        <f t="shared" si="105"/>
        <v>December</v>
      </c>
      <c r="T719">
        <f t="shared" si="106"/>
        <v>12</v>
      </c>
      <c r="U719" t="str">
        <f t="shared" si="107"/>
        <v>Medium Profit</v>
      </c>
    </row>
    <row r="720" spans="1:21" x14ac:dyDescent="0.35">
      <c r="A720" s="5" t="s">
        <v>42</v>
      </c>
      <c r="B720" s="5" t="s">
        <v>145</v>
      </c>
      <c r="C720" t="s">
        <v>72</v>
      </c>
      <c r="D720" t="s">
        <v>942</v>
      </c>
      <c r="E720" t="s">
        <v>23</v>
      </c>
      <c r="F720" t="s">
        <v>41</v>
      </c>
      <c r="G720" s="3">
        <v>41516</v>
      </c>
      <c r="H720">
        <v>419124829</v>
      </c>
      <c r="I720" s="3">
        <v>41536</v>
      </c>
      <c r="J720">
        <v>7206</v>
      </c>
      <c r="K720">
        <v>47.45</v>
      </c>
      <c r="L720">
        <v>31.79</v>
      </c>
      <c r="M720">
        <f t="shared" si="99"/>
        <v>341924.7</v>
      </c>
      <c r="N720">
        <f t="shared" si="100"/>
        <v>229078.74</v>
      </c>
      <c r="O720">
        <f t="shared" si="101"/>
        <v>112845.96000000002</v>
      </c>
      <c r="P720" s="6">
        <f t="shared" si="102"/>
        <v>0.33003161222339311</v>
      </c>
      <c r="Q720">
        <f t="shared" si="103"/>
        <v>20</v>
      </c>
      <c r="R720">
        <f t="shared" si="104"/>
        <v>2013</v>
      </c>
      <c r="S720" t="str">
        <f t="shared" si="105"/>
        <v>August</v>
      </c>
      <c r="T720">
        <f t="shared" si="106"/>
        <v>8</v>
      </c>
      <c r="U720" t="str">
        <f t="shared" si="107"/>
        <v>Medium Profit</v>
      </c>
    </row>
    <row r="721" spans="1:21" x14ac:dyDescent="0.35">
      <c r="A721" s="5" t="s">
        <v>33</v>
      </c>
      <c r="B721" s="5" t="s">
        <v>141</v>
      </c>
      <c r="C721" t="s">
        <v>69</v>
      </c>
      <c r="D721" t="s">
        <v>943</v>
      </c>
      <c r="E721" t="s">
        <v>29</v>
      </c>
      <c r="F721" t="s">
        <v>32</v>
      </c>
      <c r="G721" s="3">
        <v>41827</v>
      </c>
      <c r="H721">
        <v>560608565</v>
      </c>
      <c r="I721" s="3">
        <v>41875</v>
      </c>
      <c r="J721">
        <v>5387</v>
      </c>
      <c r="K721">
        <v>651.21</v>
      </c>
      <c r="L721">
        <v>524.96</v>
      </c>
      <c r="M721">
        <f t="shared" si="99"/>
        <v>3508068.27</v>
      </c>
      <c r="N721">
        <f t="shared" si="100"/>
        <v>2827959.52</v>
      </c>
      <c r="O721">
        <f t="shared" si="101"/>
        <v>680108.75</v>
      </c>
      <c r="P721" s="6">
        <f t="shared" si="102"/>
        <v>0.19386987300563566</v>
      </c>
      <c r="Q721">
        <f t="shared" si="103"/>
        <v>48</v>
      </c>
      <c r="R721">
        <f t="shared" si="104"/>
        <v>2014</v>
      </c>
      <c r="S721" t="str">
        <f t="shared" si="105"/>
        <v>July</v>
      </c>
      <c r="T721">
        <f t="shared" si="106"/>
        <v>7</v>
      </c>
      <c r="U721" t="str">
        <f t="shared" si="107"/>
        <v>High Profit</v>
      </c>
    </row>
    <row r="722" spans="1:21" x14ac:dyDescent="0.35">
      <c r="A722" s="5" t="s">
        <v>37</v>
      </c>
      <c r="B722" s="5" t="s">
        <v>260</v>
      </c>
      <c r="C722" t="s">
        <v>69</v>
      </c>
      <c r="D722" t="s">
        <v>944</v>
      </c>
      <c r="E722" t="s">
        <v>23</v>
      </c>
      <c r="F722" t="s">
        <v>66</v>
      </c>
      <c r="G722" s="3">
        <v>41607</v>
      </c>
      <c r="H722">
        <v>109228837</v>
      </c>
      <c r="I722" s="3">
        <v>41615</v>
      </c>
      <c r="J722">
        <v>2095</v>
      </c>
      <c r="K722">
        <v>651.21</v>
      </c>
      <c r="L722">
        <v>524.96</v>
      </c>
      <c r="M722">
        <f t="shared" si="99"/>
        <v>1364284.9500000002</v>
      </c>
      <c r="N722">
        <f t="shared" si="100"/>
        <v>1099791.2000000002</v>
      </c>
      <c r="O722">
        <f t="shared" si="101"/>
        <v>264493.75</v>
      </c>
      <c r="P722" s="6">
        <f t="shared" si="102"/>
        <v>0.19386987300563563</v>
      </c>
      <c r="Q722">
        <f t="shared" si="103"/>
        <v>8</v>
      </c>
      <c r="R722">
        <f t="shared" si="104"/>
        <v>2013</v>
      </c>
      <c r="S722" t="str">
        <f t="shared" si="105"/>
        <v>November</v>
      </c>
      <c r="T722">
        <f t="shared" si="106"/>
        <v>11</v>
      </c>
      <c r="U722" t="str">
        <f t="shared" si="107"/>
        <v>Medium Profit</v>
      </c>
    </row>
    <row r="723" spans="1:21" x14ac:dyDescent="0.35">
      <c r="A723" s="5" t="s">
        <v>19</v>
      </c>
      <c r="B723" s="5" t="s">
        <v>560</v>
      </c>
      <c r="C723" t="s">
        <v>48</v>
      </c>
      <c r="D723" t="s">
        <v>945</v>
      </c>
      <c r="E723" t="s">
        <v>23</v>
      </c>
      <c r="F723" t="s">
        <v>32</v>
      </c>
      <c r="G723" s="3">
        <v>40572</v>
      </c>
      <c r="H723">
        <v>693159472</v>
      </c>
      <c r="I723" s="3">
        <v>40579</v>
      </c>
      <c r="J723">
        <v>146</v>
      </c>
      <c r="K723">
        <v>109.28</v>
      </c>
      <c r="L723">
        <v>35.840000000000003</v>
      </c>
      <c r="M723">
        <f t="shared" si="99"/>
        <v>15954.880000000001</v>
      </c>
      <c r="N723">
        <f t="shared" si="100"/>
        <v>5232.6400000000003</v>
      </c>
      <c r="O723">
        <f t="shared" si="101"/>
        <v>10722.240000000002</v>
      </c>
      <c r="P723" s="6">
        <f t="shared" si="102"/>
        <v>0.67203513909224022</v>
      </c>
      <c r="Q723">
        <f t="shared" si="103"/>
        <v>7</v>
      </c>
      <c r="R723">
        <f t="shared" si="104"/>
        <v>2011</v>
      </c>
      <c r="S723" t="str">
        <f t="shared" si="105"/>
        <v>January</v>
      </c>
      <c r="T723">
        <f t="shared" si="106"/>
        <v>1</v>
      </c>
      <c r="U723" t="str">
        <f t="shared" si="107"/>
        <v>Low Profit</v>
      </c>
    </row>
    <row r="724" spans="1:21" x14ac:dyDescent="0.35">
      <c r="A724" s="5" t="s">
        <v>33</v>
      </c>
      <c r="B724" s="5" t="s">
        <v>836</v>
      </c>
      <c r="C724" t="s">
        <v>58</v>
      </c>
      <c r="D724" t="s">
        <v>946</v>
      </c>
      <c r="E724" t="s">
        <v>23</v>
      </c>
      <c r="F724" t="s">
        <v>66</v>
      </c>
      <c r="G724" s="3">
        <v>41591</v>
      </c>
      <c r="H724">
        <v>860886800</v>
      </c>
      <c r="I724" s="3">
        <v>41601</v>
      </c>
      <c r="J724">
        <v>4390</v>
      </c>
      <c r="K724">
        <v>152.58000000000001</v>
      </c>
      <c r="L724">
        <v>97.44</v>
      </c>
      <c r="M724">
        <f t="shared" si="99"/>
        <v>669826.20000000007</v>
      </c>
      <c r="N724">
        <f t="shared" si="100"/>
        <v>427761.6</v>
      </c>
      <c r="O724">
        <f t="shared" si="101"/>
        <v>242064.60000000009</v>
      </c>
      <c r="P724" s="6">
        <f t="shared" si="102"/>
        <v>0.36138419189933157</v>
      </c>
      <c r="Q724">
        <f t="shared" si="103"/>
        <v>10</v>
      </c>
      <c r="R724">
        <f t="shared" si="104"/>
        <v>2013</v>
      </c>
      <c r="S724" t="str">
        <f t="shared" si="105"/>
        <v>November</v>
      </c>
      <c r="T724">
        <f t="shared" si="106"/>
        <v>11</v>
      </c>
      <c r="U724" t="str">
        <f t="shared" si="107"/>
        <v>Medium Profit</v>
      </c>
    </row>
    <row r="725" spans="1:21" x14ac:dyDescent="0.35">
      <c r="A725" s="5" t="s">
        <v>42</v>
      </c>
      <c r="B725" s="5" t="s">
        <v>159</v>
      </c>
      <c r="C725" t="s">
        <v>39</v>
      </c>
      <c r="D725" t="s">
        <v>947</v>
      </c>
      <c r="E725" t="s">
        <v>23</v>
      </c>
      <c r="F725" t="s">
        <v>32</v>
      </c>
      <c r="G725" s="3">
        <v>41008</v>
      </c>
      <c r="H725">
        <v>131209647</v>
      </c>
      <c r="I725" s="3">
        <v>41032</v>
      </c>
      <c r="J725">
        <v>6705</v>
      </c>
      <c r="K725">
        <v>9.33</v>
      </c>
      <c r="L725">
        <v>6.92</v>
      </c>
      <c r="M725">
        <f t="shared" si="99"/>
        <v>62557.65</v>
      </c>
      <c r="N725">
        <f t="shared" si="100"/>
        <v>46398.6</v>
      </c>
      <c r="O725">
        <f t="shared" si="101"/>
        <v>16159.050000000003</v>
      </c>
      <c r="P725" s="6">
        <f t="shared" si="102"/>
        <v>0.25830653804930337</v>
      </c>
      <c r="Q725">
        <f t="shared" si="103"/>
        <v>24</v>
      </c>
      <c r="R725">
        <f t="shared" si="104"/>
        <v>2012</v>
      </c>
      <c r="S725" t="str">
        <f t="shared" si="105"/>
        <v>April</v>
      </c>
      <c r="T725">
        <f t="shared" si="106"/>
        <v>4</v>
      </c>
      <c r="U725" t="str">
        <f t="shared" si="107"/>
        <v>Low Profit</v>
      </c>
    </row>
    <row r="726" spans="1:21" x14ac:dyDescent="0.35">
      <c r="A726" s="5" t="s">
        <v>19</v>
      </c>
      <c r="B726" s="5" t="s">
        <v>176</v>
      </c>
      <c r="C726" t="s">
        <v>69</v>
      </c>
      <c r="D726" t="s">
        <v>948</v>
      </c>
      <c r="E726" t="s">
        <v>29</v>
      </c>
      <c r="F726" t="s">
        <v>41</v>
      </c>
      <c r="G726" s="3">
        <v>41088</v>
      </c>
      <c r="H726">
        <v>343239343</v>
      </c>
      <c r="I726" s="3">
        <v>41103</v>
      </c>
      <c r="J726">
        <v>1004</v>
      </c>
      <c r="K726">
        <v>651.21</v>
      </c>
      <c r="L726">
        <v>524.96</v>
      </c>
      <c r="M726">
        <f t="shared" si="99"/>
        <v>653814.84000000008</v>
      </c>
      <c r="N726">
        <f t="shared" si="100"/>
        <v>527059.84000000008</v>
      </c>
      <c r="O726">
        <f t="shared" si="101"/>
        <v>126755</v>
      </c>
      <c r="P726" s="6">
        <f t="shared" si="102"/>
        <v>0.19386987300563563</v>
      </c>
      <c r="Q726">
        <f t="shared" si="103"/>
        <v>15</v>
      </c>
      <c r="R726">
        <f t="shared" si="104"/>
        <v>2012</v>
      </c>
      <c r="S726" t="str">
        <f t="shared" si="105"/>
        <v>June</v>
      </c>
      <c r="T726">
        <f t="shared" si="106"/>
        <v>6</v>
      </c>
      <c r="U726" t="str">
        <f t="shared" si="107"/>
        <v>Medium Profit</v>
      </c>
    </row>
    <row r="727" spans="1:21" x14ac:dyDescent="0.35">
      <c r="A727" s="5" t="s">
        <v>37</v>
      </c>
      <c r="B727" s="5" t="s">
        <v>395</v>
      </c>
      <c r="C727" t="s">
        <v>48</v>
      </c>
      <c r="D727" t="s">
        <v>949</v>
      </c>
      <c r="E727" t="s">
        <v>29</v>
      </c>
      <c r="F727" t="s">
        <v>41</v>
      </c>
      <c r="G727" s="3">
        <v>40337</v>
      </c>
      <c r="H727">
        <v>706399714</v>
      </c>
      <c r="I727" s="3">
        <v>40378</v>
      </c>
      <c r="J727">
        <v>8228</v>
      </c>
      <c r="K727">
        <v>109.28</v>
      </c>
      <c r="L727">
        <v>35.840000000000003</v>
      </c>
      <c r="M727">
        <f t="shared" si="99"/>
        <v>899155.84</v>
      </c>
      <c r="N727">
        <f t="shared" si="100"/>
        <v>294891.52000000002</v>
      </c>
      <c r="O727">
        <f t="shared" si="101"/>
        <v>604264.31999999995</v>
      </c>
      <c r="P727" s="6">
        <f t="shared" si="102"/>
        <v>0.67203513909224011</v>
      </c>
      <c r="Q727">
        <f t="shared" si="103"/>
        <v>41</v>
      </c>
      <c r="R727">
        <f t="shared" si="104"/>
        <v>2010</v>
      </c>
      <c r="S727" t="str">
        <f t="shared" si="105"/>
        <v>June</v>
      </c>
      <c r="T727">
        <f t="shared" si="106"/>
        <v>6</v>
      </c>
      <c r="U727" t="str">
        <f t="shared" si="107"/>
        <v>High Profit</v>
      </c>
    </row>
    <row r="728" spans="1:21" x14ac:dyDescent="0.35">
      <c r="A728" s="5" t="s">
        <v>19</v>
      </c>
      <c r="B728" s="5" t="s">
        <v>239</v>
      </c>
      <c r="C728" t="s">
        <v>69</v>
      </c>
      <c r="D728" t="s">
        <v>950</v>
      </c>
      <c r="E728" t="s">
        <v>29</v>
      </c>
      <c r="F728" t="s">
        <v>24</v>
      </c>
      <c r="G728" s="3">
        <v>40413</v>
      </c>
      <c r="H728">
        <v>950427091</v>
      </c>
      <c r="I728" s="3">
        <v>40435</v>
      </c>
      <c r="J728">
        <v>1352</v>
      </c>
      <c r="K728">
        <v>651.21</v>
      </c>
      <c r="L728">
        <v>524.96</v>
      </c>
      <c r="M728">
        <f t="shared" si="99"/>
        <v>880435.92</v>
      </c>
      <c r="N728">
        <f t="shared" si="100"/>
        <v>709745.92</v>
      </c>
      <c r="O728">
        <f t="shared" si="101"/>
        <v>170690</v>
      </c>
      <c r="P728" s="6">
        <f t="shared" si="102"/>
        <v>0.19386987300563566</v>
      </c>
      <c r="Q728">
        <f t="shared" si="103"/>
        <v>22</v>
      </c>
      <c r="R728">
        <f t="shared" si="104"/>
        <v>2010</v>
      </c>
      <c r="S728" t="str">
        <f t="shared" si="105"/>
        <v>August</v>
      </c>
      <c r="T728">
        <f t="shared" si="106"/>
        <v>8</v>
      </c>
      <c r="U728" t="str">
        <f t="shared" si="107"/>
        <v>Medium Profit</v>
      </c>
    </row>
    <row r="729" spans="1:21" x14ac:dyDescent="0.35">
      <c r="A729" s="5" t="s">
        <v>19</v>
      </c>
      <c r="B729" s="5" t="s">
        <v>350</v>
      </c>
      <c r="C729" t="s">
        <v>58</v>
      </c>
      <c r="D729" t="s">
        <v>951</v>
      </c>
      <c r="E729" t="s">
        <v>23</v>
      </c>
      <c r="F729" t="s">
        <v>41</v>
      </c>
      <c r="G729" s="3">
        <v>41984</v>
      </c>
      <c r="H729">
        <v>875370299</v>
      </c>
      <c r="I729" s="3">
        <v>42001</v>
      </c>
      <c r="J729">
        <v>379</v>
      </c>
      <c r="K729">
        <v>152.58000000000001</v>
      </c>
      <c r="L729">
        <v>97.44</v>
      </c>
      <c r="M729">
        <f t="shared" si="99"/>
        <v>57827.820000000007</v>
      </c>
      <c r="N729">
        <f t="shared" si="100"/>
        <v>36929.760000000002</v>
      </c>
      <c r="O729">
        <f t="shared" si="101"/>
        <v>20898.060000000005</v>
      </c>
      <c r="P729" s="6">
        <f t="shared" si="102"/>
        <v>0.36138419189933152</v>
      </c>
      <c r="Q729">
        <f t="shared" si="103"/>
        <v>17</v>
      </c>
      <c r="R729">
        <f t="shared" si="104"/>
        <v>2014</v>
      </c>
      <c r="S729" t="str">
        <f t="shared" si="105"/>
        <v>December</v>
      </c>
      <c r="T729">
        <f t="shared" si="106"/>
        <v>12</v>
      </c>
      <c r="U729" t="str">
        <f t="shared" si="107"/>
        <v>Low Profit</v>
      </c>
    </row>
    <row r="730" spans="1:21" x14ac:dyDescent="0.35">
      <c r="A730" s="5" t="s">
        <v>19</v>
      </c>
      <c r="B730" s="5" t="s">
        <v>234</v>
      </c>
      <c r="C730" t="s">
        <v>48</v>
      </c>
      <c r="D730" t="s">
        <v>952</v>
      </c>
      <c r="E730" t="s">
        <v>29</v>
      </c>
      <c r="F730" t="s">
        <v>32</v>
      </c>
      <c r="G730" s="3">
        <v>40570</v>
      </c>
      <c r="H730">
        <v>801590669</v>
      </c>
      <c r="I730" s="3">
        <v>40617</v>
      </c>
      <c r="J730">
        <v>7347</v>
      </c>
      <c r="K730">
        <v>109.28</v>
      </c>
      <c r="L730">
        <v>35.840000000000003</v>
      </c>
      <c r="M730">
        <f t="shared" si="99"/>
        <v>802880.16</v>
      </c>
      <c r="N730">
        <f t="shared" si="100"/>
        <v>263316.48000000004</v>
      </c>
      <c r="O730">
        <f t="shared" si="101"/>
        <v>539563.67999999993</v>
      </c>
      <c r="P730" s="6">
        <f t="shared" si="102"/>
        <v>0.67203513909224</v>
      </c>
      <c r="Q730">
        <f t="shared" si="103"/>
        <v>47</v>
      </c>
      <c r="R730">
        <f t="shared" si="104"/>
        <v>2011</v>
      </c>
      <c r="S730" t="str">
        <f t="shared" si="105"/>
        <v>January</v>
      </c>
      <c r="T730">
        <f t="shared" si="106"/>
        <v>1</v>
      </c>
      <c r="U730" t="str">
        <f t="shared" si="107"/>
        <v>High Profit</v>
      </c>
    </row>
    <row r="731" spans="1:21" x14ac:dyDescent="0.35">
      <c r="A731" s="5" t="s">
        <v>19</v>
      </c>
      <c r="B731" s="5" t="s">
        <v>669</v>
      </c>
      <c r="C731" t="s">
        <v>83</v>
      </c>
      <c r="D731" t="s">
        <v>953</v>
      </c>
      <c r="E731" t="s">
        <v>23</v>
      </c>
      <c r="F731" t="s">
        <v>32</v>
      </c>
      <c r="G731" s="3">
        <v>41766</v>
      </c>
      <c r="H731">
        <v>219762027</v>
      </c>
      <c r="I731" s="3">
        <v>41787</v>
      </c>
      <c r="J731">
        <v>1322</v>
      </c>
      <c r="K731">
        <v>81.73</v>
      </c>
      <c r="L731">
        <v>56.67</v>
      </c>
      <c r="M731">
        <f t="shared" si="99"/>
        <v>108047.06000000001</v>
      </c>
      <c r="N731">
        <f t="shared" si="100"/>
        <v>74917.740000000005</v>
      </c>
      <c r="O731">
        <f t="shared" si="101"/>
        <v>33129.320000000007</v>
      </c>
      <c r="P731" s="6">
        <f t="shared" si="102"/>
        <v>0.30661935641747218</v>
      </c>
      <c r="Q731">
        <f t="shared" si="103"/>
        <v>21</v>
      </c>
      <c r="R731">
        <f t="shared" si="104"/>
        <v>2014</v>
      </c>
      <c r="S731" t="str">
        <f t="shared" si="105"/>
        <v>May</v>
      </c>
      <c r="T731">
        <f t="shared" si="106"/>
        <v>5</v>
      </c>
      <c r="U731" t="str">
        <f t="shared" si="107"/>
        <v>Low Profit</v>
      </c>
    </row>
    <row r="732" spans="1:21" x14ac:dyDescent="0.35">
      <c r="A732" s="5" t="s">
        <v>53</v>
      </c>
      <c r="B732" s="5" t="s">
        <v>340</v>
      </c>
      <c r="C732" t="s">
        <v>35</v>
      </c>
      <c r="D732" t="s">
        <v>954</v>
      </c>
      <c r="E732" t="s">
        <v>23</v>
      </c>
      <c r="F732" t="s">
        <v>32</v>
      </c>
      <c r="G732" s="3">
        <v>40490</v>
      </c>
      <c r="H732">
        <v>940870702</v>
      </c>
      <c r="I732" s="3">
        <v>40503</v>
      </c>
      <c r="J732">
        <v>3404</v>
      </c>
      <c r="K732">
        <v>205.7</v>
      </c>
      <c r="L732">
        <v>117.11</v>
      </c>
      <c r="M732">
        <f t="shared" si="99"/>
        <v>700202.79999999993</v>
      </c>
      <c r="N732">
        <f t="shared" si="100"/>
        <v>398642.44</v>
      </c>
      <c r="O732">
        <f t="shared" si="101"/>
        <v>301560.35999999993</v>
      </c>
      <c r="P732" s="6">
        <f t="shared" si="102"/>
        <v>0.43067574137092846</v>
      </c>
      <c r="Q732">
        <f t="shared" si="103"/>
        <v>13</v>
      </c>
      <c r="R732">
        <f t="shared" si="104"/>
        <v>2010</v>
      </c>
      <c r="S732" t="str">
        <f t="shared" si="105"/>
        <v>November</v>
      </c>
      <c r="T732">
        <f t="shared" si="106"/>
        <v>11</v>
      </c>
      <c r="U732" t="str">
        <f t="shared" si="107"/>
        <v>Medium Profit</v>
      </c>
    </row>
    <row r="733" spans="1:21" x14ac:dyDescent="0.35">
      <c r="A733" s="5" t="s">
        <v>50</v>
      </c>
      <c r="B733" s="5" t="s">
        <v>435</v>
      </c>
      <c r="C733" t="s">
        <v>39</v>
      </c>
      <c r="D733" t="s">
        <v>955</v>
      </c>
      <c r="E733" t="s">
        <v>29</v>
      </c>
      <c r="F733" t="s">
        <v>24</v>
      </c>
      <c r="G733" s="3">
        <v>41728</v>
      </c>
      <c r="H733">
        <v>346215522</v>
      </c>
      <c r="I733" s="3">
        <v>41763</v>
      </c>
      <c r="J733">
        <v>1721</v>
      </c>
      <c r="K733">
        <v>9.33</v>
      </c>
      <c r="L733">
        <v>6.92</v>
      </c>
      <c r="M733">
        <f t="shared" si="99"/>
        <v>16056.93</v>
      </c>
      <c r="N733">
        <f t="shared" si="100"/>
        <v>11909.32</v>
      </c>
      <c r="O733">
        <f t="shared" si="101"/>
        <v>4147.6100000000006</v>
      </c>
      <c r="P733" s="6">
        <f t="shared" si="102"/>
        <v>0.25830653804930337</v>
      </c>
      <c r="Q733">
        <f t="shared" si="103"/>
        <v>35</v>
      </c>
      <c r="R733">
        <f t="shared" si="104"/>
        <v>2014</v>
      </c>
      <c r="S733" t="str">
        <f t="shared" si="105"/>
        <v>March</v>
      </c>
      <c r="T733">
        <f t="shared" si="106"/>
        <v>3</v>
      </c>
      <c r="U733" t="str">
        <f t="shared" si="107"/>
        <v>Low Profit</v>
      </c>
    </row>
    <row r="734" spans="1:21" x14ac:dyDescent="0.35">
      <c r="A734" s="5" t="s">
        <v>19</v>
      </c>
      <c r="B734" s="5" t="s">
        <v>717</v>
      </c>
      <c r="C734" t="s">
        <v>48</v>
      </c>
      <c r="D734" t="s">
        <v>956</v>
      </c>
      <c r="E734" t="s">
        <v>23</v>
      </c>
      <c r="F734" t="s">
        <v>32</v>
      </c>
      <c r="G734" s="3">
        <v>42560</v>
      </c>
      <c r="H734">
        <v>837407815</v>
      </c>
      <c r="I734" s="3">
        <v>42571</v>
      </c>
      <c r="J734">
        <v>6436</v>
      </c>
      <c r="K734">
        <v>109.28</v>
      </c>
      <c r="L734">
        <v>35.840000000000003</v>
      </c>
      <c r="M734">
        <f t="shared" si="99"/>
        <v>703326.08</v>
      </c>
      <c r="N734">
        <f t="shared" si="100"/>
        <v>230666.24000000002</v>
      </c>
      <c r="O734">
        <f t="shared" si="101"/>
        <v>472659.83999999997</v>
      </c>
      <c r="P734" s="6">
        <f t="shared" si="102"/>
        <v>0.67203513909224011</v>
      </c>
      <c r="Q734">
        <f t="shared" si="103"/>
        <v>11</v>
      </c>
      <c r="R734">
        <f t="shared" si="104"/>
        <v>2016</v>
      </c>
      <c r="S734" t="str">
        <f t="shared" si="105"/>
        <v>July</v>
      </c>
      <c r="T734">
        <f t="shared" si="106"/>
        <v>7</v>
      </c>
      <c r="U734" t="str">
        <f t="shared" si="107"/>
        <v>Medium Profit</v>
      </c>
    </row>
    <row r="735" spans="1:21" x14ac:dyDescent="0.35">
      <c r="A735" s="5" t="s">
        <v>19</v>
      </c>
      <c r="B735" s="5" t="s">
        <v>221</v>
      </c>
      <c r="C735" t="s">
        <v>92</v>
      </c>
      <c r="D735" t="s">
        <v>957</v>
      </c>
      <c r="E735" t="s">
        <v>29</v>
      </c>
      <c r="F735" t="s">
        <v>66</v>
      </c>
      <c r="G735" s="3">
        <v>41835</v>
      </c>
      <c r="H735">
        <v>386371409</v>
      </c>
      <c r="I735" s="3">
        <v>41839</v>
      </c>
      <c r="J735">
        <v>4741</v>
      </c>
      <c r="K735">
        <v>421.89</v>
      </c>
      <c r="L735">
        <v>364.69</v>
      </c>
      <c r="M735">
        <f t="shared" si="99"/>
        <v>2000180.49</v>
      </c>
      <c r="N735">
        <f t="shared" si="100"/>
        <v>1728995.29</v>
      </c>
      <c r="O735">
        <f t="shared" si="101"/>
        <v>271185.19999999995</v>
      </c>
      <c r="P735" s="6">
        <f t="shared" si="102"/>
        <v>0.13558036455000116</v>
      </c>
      <c r="Q735">
        <f t="shared" si="103"/>
        <v>4</v>
      </c>
      <c r="R735">
        <f t="shared" si="104"/>
        <v>2014</v>
      </c>
      <c r="S735" t="str">
        <f t="shared" si="105"/>
        <v>July</v>
      </c>
      <c r="T735">
        <f t="shared" si="106"/>
        <v>7</v>
      </c>
      <c r="U735" t="str">
        <f t="shared" si="107"/>
        <v>Medium Profit</v>
      </c>
    </row>
    <row r="736" spans="1:21" x14ac:dyDescent="0.35">
      <c r="A736" s="5" t="s">
        <v>53</v>
      </c>
      <c r="B736" s="5" t="s">
        <v>245</v>
      </c>
      <c r="C736" t="s">
        <v>72</v>
      </c>
      <c r="D736" t="s">
        <v>958</v>
      </c>
      <c r="E736" t="s">
        <v>23</v>
      </c>
      <c r="F736" t="s">
        <v>41</v>
      </c>
      <c r="G736" s="3">
        <v>41561</v>
      </c>
      <c r="H736">
        <v>185342633</v>
      </c>
      <c r="I736" s="3">
        <v>41602</v>
      </c>
      <c r="J736">
        <v>5859</v>
      </c>
      <c r="K736">
        <v>47.45</v>
      </c>
      <c r="L736">
        <v>31.79</v>
      </c>
      <c r="M736">
        <f t="shared" si="99"/>
        <v>278009.55</v>
      </c>
      <c r="N736">
        <f t="shared" si="100"/>
        <v>186257.61</v>
      </c>
      <c r="O736">
        <f t="shared" si="101"/>
        <v>91751.94</v>
      </c>
      <c r="P736" s="6">
        <f t="shared" si="102"/>
        <v>0.33003161222339306</v>
      </c>
      <c r="Q736">
        <f t="shared" si="103"/>
        <v>41</v>
      </c>
      <c r="R736">
        <f t="shared" si="104"/>
        <v>2013</v>
      </c>
      <c r="S736" t="str">
        <f t="shared" si="105"/>
        <v>October</v>
      </c>
      <c r="T736">
        <f t="shared" si="106"/>
        <v>10</v>
      </c>
      <c r="U736" t="str">
        <f t="shared" si="107"/>
        <v>Low Profit</v>
      </c>
    </row>
    <row r="737" spans="1:21" x14ac:dyDescent="0.35">
      <c r="A737" s="5" t="s">
        <v>19</v>
      </c>
      <c r="B737" s="5" t="s">
        <v>239</v>
      </c>
      <c r="C737" t="s">
        <v>58</v>
      </c>
      <c r="D737" t="s">
        <v>959</v>
      </c>
      <c r="E737" t="s">
        <v>23</v>
      </c>
      <c r="F737" t="s">
        <v>32</v>
      </c>
      <c r="G737" s="3">
        <v>42748</v>
      </c>
      <c r="H737">
        <v>596870315</v>
      </c>
      <c r="I737" s="3">
        <v>42784</v>
      </c>
      <c r="J737">
        <v>6045</v>
      </c>
      <c r="K737">
        <v>152.58000000000001</v>
      </c>
      <c r="L737">
        <v>97.44</v>
      </c>
      <c r="M737">
        <f t="shared" si="99"/>
        <v>922346.10000000009</v>
      </c>
      <c r="N737">
        <f t="shared" si="100"/>
        <v>589024.79999999993</v>
      </c>
      <c r="O737">
        <f t="shared" si="101"/>
        <v>333321.30000000016</v>
      </c>
      <c r="P737" s="6">
        <f t="shared" si="102"/>
        <v>0.36138419189933163</v>
      </c>
      <c r="Q737">
        <f t="shared" si="103"/>
        <v>36</v>
      </c>
      <c r="R737">
        <f t="shared" si="104"/>
        <v>2017</v>
      </c>
      <c r="S737" t="str">
        <f t="shared" si="105"/>
        <v>January</v>
      </c>
      <c r="T737">
        <f t="shared" si="106"/>
        <v>1</v>
      </c>
      <c r="U737" t="str">
        <f t="shared" si="107"/>
        <v>Medium Profit</v>
      </c>
    </row>
    <row r="738" spans="1:21" x14ac:dyDescent="0.35">
      <c r="A738" s="5" t="s">
        <v>42</v>
      </c>
      <c r="B738" s="5" t="s">
        <v>400</v>
      </c>
      <c r="C738" t="s">
        <v>92</v>
      </c>
      <c r="D738" t="s">
        <v>960</v>
      </c>
      <c r="E738" t="s">
        <v>29</v>
      </c>
      <c r="F738" t="s">
        <v>32</v>
      </c>
      <c r="G738" s="3">
        <v>41265</v>
      </c>
      <c r="H738">
        <v>703815782</v>
      </c>
      <c r="I738" s="3">
        <v>41281</v>
      </c>
      <c r="J738">
        <v>3585</v>
      </c>
      <c r="K738">
        <v>421.89</v>
      </c>
      <c r="L738">
        <v>364.69</v>
      </c>
      <c r="M738">
        <f t="shared" si="99"/>
        <v>1512475.65</v>
      </c>
      <c r="N738">
        <f t="shared" si="100"/>
        <v>1307413.6499999999</v>
      </c>
      <c r="O738">
        <f t="shared" si="101"/>
        <v>205062</v>
      </c>
      <c r="P738" s="6">
        <f t="shared" si="102"/>
        <v>0.13558036455000119</v>
      </c>
      <c r="Q738">
        <f t="shared" si="103"/>
        <v>16</v>
      </c>
      <c r="R738">
        <f t="shared" si="104"/>
        <v>2012</v>
      </c>
      <c r="S738" t="str">
        <f t="shared" si="105"/>
        <v>December</v>
      </c>
      <c r="T738">
        <f t="shared" si="106"/>
        <v>12</v>
      </c>
      <c r="U738" t="str">
        <f t="shared" si="107"/>
        <v>Medium Profit</v>
      </c>
    </row>
    <row r="739" spans="1:21" x14ac:dyDescent="0.35">
      <c r="A739" s="5" t="s">
        <v>53</v>
      </c>
      <c r="B739" s="5" t="s">
        <v>524</v>
      </c>
      <c r="C739" t="s">
        <v>83</v>
      </c>
      <c r="D739" t="s">
        <v>961</v>
      </c>
      <c r="E739" t="s">
        <v>29</v>
      </c>
      <c r="F739" t="s">
        <v>32</v>
      </c>
      <c r="G739" s="3">
        <v>40284</v>
      </c>
      <c r="H739">
        <v>559352862</v>
      </c>
      <c r="I739" s="3">
        <v>40333</v>
      </c>
      <c r="J739">
        <v>3797</v>
      </c>
      <c r="K739">
        <v>81.73</v>
      </c>
      <c r="L739">
        <v>56.67</v>
      </c>
      <c r="M739">
        <f t="shared" si="99"/>
        <v>310328.81</v>
      </c>
      <c r="N739">
        <f t="shared" si="100"/>
        <v>215175.99000000002</v>
      </c>
      <c r="O739">
        <f t="shared" si="101"/>
        <v>95152.819999999978</v>
      </c>
      <c r="P739" s="6">
        <f t="shared" si="102"/>
        <v>0.30661935641747212</v>
      </c>
      <c r="Q739">
        <f t="shared" si="103"/>
        <v>49</v>
      </c>
      <c r="R739">
        <f t="shared" si="104"/>
        <v>2010</v>
      </c>
      <c r="S739" t="str">
        <f t="shared" si="105"/>
        <v>April</v>
      </c>
      <c r="T739">
        <f t="shared" si="106"/>
        <v>4</v>
      </c>
      <c r="U739" t="str">
        <f t="shared" si="107"/>
        <v>Low Profit</v>
      </c>
    </row>
    <row r="740" spans="1:21" x14ac:dyDescent="0.35">
      <c r="A740" s="5" t="s">
        <v>42</v>
      </c>
      <c r="B740" s="5" t="s">
        <v>150</v>
      </c>
      <c r="C740" t="s">
        <v>21</v>
      </c>
      <c r="D740" t="s">
        <v>962</v>
      </c>
      <c r="E740" t="s">
        <v>23</v>
      </c>
      <c r="F740" t="s">
        <v>32</v>
      </c>
      <c r="G740" s="3">
        <v>40601</v>
      </c>
      <c r="H740">
        <v>736967885</v>
      </c>
      <c r="I740" s="3">
        <v>40614</v>
      </c>
      <c r="J740">
        <v>4029</v>
      </c>
      <c r="K740">
        <v>437.2</v>
      </c>
      <c r="L740">
        <v>263.33</v>
      </c>
      <c r="M740">
        <f t="shared" si="99"/>
        <v>1761478.8</v>
      </c>
      <c r="N740">
        <f t="shared" si="100"/>
        <v>1060956.5699999998</v>
      </c>
      <c r="O740">
        <f t="shared" si="101"/>
        <v>700522.23000000021</v>
      </c>
      <c r="P740" s="6">
        <f t="shared" si="102"/>
        <v>0.39768984446477595</v>
      </c>
      <c r="Q740">
        <f t="shared" si="103"/>
        <v>13</v>
      </c>
      <c r="R740">
        <f t="shared" si="104"/>
        <v>2011</v>
      </c>
      <c r="S740" t="str">
        <f t="shared" si="105"/>
        <v>February</v>
      </c>
      <c r="T740">
        <f t="shared" si="106"/>
        <v>2</v>
      </c>
      <c r="U740" t="str">
        <f t="shared" si="107"/>
        <v>High Profit</v>
      </c>
    </row>
    <row r="741" spans="1:21" x14ac:dyDescent="0.35">
      <c r="A741" s="5" t="s">
        <v>42</v>
      </c>
      <c r="B741" s="5" t="s">
        <v>257</v>
      </c>
      <c r="C741" t="s">
        <v>48</v>
      </c>
      <c r="D741" t="s">
        <v>963</v>
      </c>
      <c r="E741" t="s">
        <v>23</v>
      </c>
      <c r="F741" t="s">
        <v>32</v>
      </c>
      <c r="G741" s="3">
        <v>42018</v>
      </c>
      <c r="H741">
        <v>980459678</v>
      </c>
      <c r="I741" s="3">
        <v>42044</v>
      </c>
      <c r="J741">
        <v>8661</v>
      </c>
      <c r="K741">
        <v>109.28</v>
      </c>
      <c r="L741">
        <v>35.840000000000003</v>
      </c>
      <c r="M741">
        <f t="shared" si="99"/>
        <v>946474.08</v>
      </c>
      <c r="N741">
        <f t="shared" si="100"/>
        <v>310410.24000000005</v>
      </c>
      <c r="O741">
        <f t="shared" si="101"/>
        <v>636063.83999999985</v>
      </c>
      <c r="P741" s="6">
        <f t="shared" si="102"/>
        <v>0.67203513909224</v>
      </c>
      <c r="Q741">
        <f t="shared" si="103"/>
        <v>26</v>
      </c>
      <c r="R741">
        <f t="shared" si="104"/>
        <v>2015</v>
      </c>
      <c r="S741" t="str">
        <f t="shared" si="105"/>
        <v>January</v>
      </c>
      <c r="T741">
        <f t="shared" si="106"/>
        <v>1</v>
      </c>
      <c r="U741" t="str">
        <f t="shared" si="107"/>
        <v>High Profit</v>
      </c>
    </row>
    <row r="742" spans="1:21" x14ac:dyDescent="0.35">
      <c r="A742" s="5" t="s">
        <v>50</v>
      </c>
      <c r="B742" s="5" t="s">
        <v>914</v>
      </c>
      <c r="C742" t="s">
        <v>27</v>
      </c>
      <c r="D742" t="s">
        <v>964</v>
      </c>
      <c r="E742" t="s">
        <v>23</v>
      </c>
      <c r="F742" t="s">
        <v>32</v>
      </c>
      <c r="G742" s="3">
        <v>41959</v>
      </c>
      <c r="H742">
        <v>653939568</v>
      </c>
      <c r="I742" s="3">
        <v>41979</v>
      </c>
      <c r="J742">
        <v>4105</v>
      </c>
      <c r="K742">
        <v>154.06</v>
      </c>
      <c r="L742">
        <v>90.93</v>
      </c>
      <c r="M742">
        <f t="shared" si="99"/>
        <v>632416.30000000005</v>
      </c>
      <c r="N742">
        <f t="shared" si="100"/>
        <v>373267.65</v>
      </c>
      <c r="O742">
        <f t="shared" si="101"/>
        <v>259148.65000000002</v>
      </c>
      <c r="P742" s="6">
        <f t="shared" si="102"/>
        <v>0.40977541217707386</v>
      </c>
      <c r="Q742">
        <f t="shared" si="103"/>
        <v>20</v>
      </c>
      <c r="R742">
        <f t="shared" si="104"/>
        <v>2014</v>
      </c>
      <c r="S742" t="str">
        <f t="shared" si="105"/>
        <v>November</v>
      </c>
      <c r="T742">
        <f t="shared" si="106"/>
        <v>11</v>
      </c>
      <c r="U742" t="str">
        <f t="shared" si="107"/>
        <v>Medium Profit</v>
      </c>
    </row>
    <row r="743" spans="1:21" x14ac:dyDescent="0.35">
      <c r="A743" s="5" t="s">
        <v>53</v>
      </c>
      <c r="B743" s="5" t="s">
        <v>212</v>
      </c>
      <c r="C743" t="s">
        <v>21</v>
      </c>
      <c r="D743" t="s">
        <v>965</v>
      </c>
      <c r="E743" t="s">
        <v>29</v>
      </c>
      <c r="F743" t="s">
        <v>41</v>
      </c>
      <c r="G743" s="3">
        <v>42386</v>
      </c>
      <c r="H743">
        <v>991831386</v>
      </c>
      <c r="I743" s="3">
        <v>42398</v>
      </c>
      <c r="J743">
        <v>3803</v>
      </c>
      <c r="K743">
        <v>437.2</v>
      </c>
      <c r="L743">
        <v>263.33</v>
      </c>
      <c r="M743">
        <f t="shared" si="99"/>
        <v>1662671.5999999999</v>
      </c>
      <c r="N743">
        <f t="shared" si="100"/>
        <v>1001443.99</v>
      </c>
      <c r="O743">
        <f t="shared" si="101"/>
        <v>661227.60999999987</v>
      </c>
      <c r="P743" s="6">
        <f t="shared" si="102"/>
        <v>0.39768984446477579</v>
      </c>
      <c r="Q743">
        <f t="shared" si="103"/>
        <v>12</v>
      </c>
      <c r="R743">
        <f t="shared" si="104"/>
        <v>2016</v>
      </c>
      <c r="S743" t="str">
        <f t="shared" si="105"/>
        <v>January</v>
      </c>
      <c r="T743">
        <f t="shared" si="106"/>
        <v>1</v>
      </c>
      <c r="U743" t="str">
        <f t="shared" si="107"/>
        <v>High Profit</v>
      </c>
    </row>
    <row r="744" spans="1:21" x14ac:dyDescent="0.35">
      <c r="A744" s="5" t="s">
        <v>53</v>
      </c>
      <c r="B744" s="5" t="s">
        <v>245</v>
      </c>
      <c r="C744" t="s">
        <v>35</v>
      </c>
      <c r="D744" t="s">
        <v>966</v>
      </c>
      <c r="E744" t="s">
        <v>29</v>
      </c>
      <c r="F744" t="s">
        <v>66</v>
      </c>
      <c r="G744" s="3">
        <v>42884</v>
      </c>
      <c r="H744">
        <v>148871457</v>
      </c>
      <c r="I744" s="3">
        <v>42922</v>
      </c>
      <c r="J744">
        <v>3227</v>
      </c>
      <c r="K744">
        <v>205.7</v>
      </c>
      <c r="L744">
        <v>117.11</v>
      </c>
      <c r="M744">
        <f t="shared" si="99"/>
        <v>663793.89999999991</v>
      </c>
      <c r="N744">
        <f t="shared" si="100"/>
        <v>377913.97</v>
      </c>
      <c r="O744">
        <f t="shared" si="101"/>
        <v>285879.92999999993</v>
      </c>
      <c r="P744" s="6">
        <f t="shared" si="102"/>
        <v>0.43067574137092851</v>
      </c>
      <c r="Q744">
        <f t="shared" si="103"/>
        <v>38</v>
      </c>
      <c r="R744">
        <f t="shared" si="104"/>
        <v>2017</v>
      </c>
      <c r="S744" t="str">
        <f t="shared" si="105"/>
        <v>May</v>
      </c>
      <c r="T744">
        <f t="shared" si="106"/>
        <v>5</v>
      </c>
      <c r="U744" t="str">
        <f t="shared" si="107"/>
        <v>Medium Profit</v>
      </c>
    </row>
    <row r="745" spans="1:21" x14ac:dyDescent="0.35">
      <c r="A745" s="5" t="s">
        <v>42</v>
      </c>
      <c r="B745" s="5" t="s">
        <v>80</v>
      </c>
      <c r="C745" t="s">
        <v>39</v>
      </c>
      <c r="D745" t="s">
        <v>967</v>
      </c>
      <c r="E745" t="s">
        <v>29</v>
      </c>
      <c r="F745" t="s">
        <v>41</v>
      </c>
      <c r="G745" s="3">
        <v>42045</v>
      </c>
      <c r="H745">
        <v>850108611</v>
      </c>
      <c r="I745" s="3">
        <v>42060</v>
      </c>
      <c r="J745">
        <v>4884</v>
      </c>
      <c r="K745">
        <v>9.33</v>
      </c>
      <c r="L745">
        <v>6.92</v>
      </c>
      <c r="M745">
        <f t="shared" si="99"/>
        <v>45567.72</v>
      </c>
      <c r="N745">
        <f t="shared" si="100"/>
        <v>33797.279999999999</v>
      </c>
      <c r="O745">
        <f t="shared" si="101"/>
        <v>11770.440000000002</v>
      </c>
      <c r="P745" s="6">
        <f t="shared" si="102"/>
        <v>0.25830653804930337</v>
      </c>
      <c r="Q745">
        <f t="shared" si="103"/>
        <v>15</v>
      </c>
      <c r="R745">
        <f t="shared" si="104"/>
        <v>2015</v>
      </c>
      <c r="S745" t="str">
        <f t="shared" si="105"/>
        <v>February</v>
      </c>
      <c r="T745">
        <f t="shared" si="106"/>
        <v>2</v>
      </c>
      <c r="U745" t="str">
        <f t="shared" si="107"/>
        <v>Low Profit</v>
      </c>
    </row>
    <row r="746" spans="1:21" x14ac:dyDescent="0.35">
      <c r="A746" s="5" t="s">
        <v>37</v>
      </c>
      <c r="B746" s="5" t="s">
        <v>164</v>
      </c>
      <c r="C746" t="s">
        <v>69</v>
      </c>
      <c r="D746" t="s">
        <v>968</v>
      </c>
      <c r="E746" t="s">
        <v>23</v>
      </c>
      <c r="F746" t="s">
        <v>24</v>
      </c>
      <c r="G746" s="3">
        <v>41616</v>
      </c>
      <c r="H746">
        <v>940904176</v>
      </c>
      <c r="I746" s="3">
        <v>41646</v>
      </c>
      <c r="J746">
        <v>3309</v>
      </c>
      <c r="K746">
        <v>651.21</v>
      </c>
      <c r="L746">
        <v>524.96</v>
      </c>
      <c r="M746">
        <f t="shared" si="99"/>
        <v>2154853.89</v>
      </c>
      <c r="N746">
        <f t="shared" si="100"/>
        <v>1737092.6400000001</v>
      </c>
      <c r="O746">
        <f t="shared" si="101"/>
        <v>417761.25</v>
      </c>
      <c r="P746" s="6">
        <f t="shared" si="102"/>
        <v>0.19386987300563566</v>
      </c>
      <c r="Q746">
        <f t="shared" si="103"/>
        <v>30</v>
      </c>
      <c r="R746">
        <f t="shared" si="104"/>
        <v>2013</v>
      </c>
      <c r="S746" t="str">
        <f t="shared" si="105"/>
        <v>December</v>
      </c>
      <c r="T746">
        <f t="shared" si="106"/>
        <v>12</v>
      </c>
      <c r="U746" t="str">
        <f t="shared" si="107"/>
        <v>Medium Profit</v>
      </c>
    </row>
    <row r="747" spans="1:21" x14ac:dyDescent="0.35">
      <c r="A747" s="5" t="s">
        <v>50</v>
      </c>
      <c r="B747" s="5" t="s">
        <v>969</v>
      </c>
      <c r="C747" t="s">
        <v>69</v>
      </c>
      <c r="D747" t="s">
        <v>970</v>
      </c>
      <c r="E747" t="s">
        <v>23</v>
      </c>
      <c r="F747" t="s">
        <v>41</v>
      </c>
      <c r="G747" s="3">
        <v>42348</v>
      </c>
      <c r="H747">
        <v>136931979</v>
      </c>
      <c r="I747" s="3">
        <v>42351</v>
      </c>
      <c r="J747">
        <v>70</v>
      </c>
      <c r="K747">
        <v>651.21</v>
      </c>
      <c r="L747">
        <v>524.96</v>
      </c>
      <c r="M747">
        <f t="shared" si="99"/>
        <v>45584.700000000004</v>
      </c>
      <c r="N747">
        <f t="shared" si="100"/>
        <v>36747.200000000004</v>
      </c>
      <c r="O747">
        <f t="shared" si="101"/>
        <v>8837.5</v>
      </c>
      <c r="P747" s="6">
        <f t="shared" si="102"/>
        <v>0.19386987300563566</v>
      </c>
      <c r="Q747">
        <f t="shared" si="103"/>
        <v>3</v>
      </c>
      <c r="R747">
        <f t="shared" si="104"/>
        <v>2015</v>
      </c>
      <c r="S747" t="str">
        <f t="shared" si="105"/>
        <v>December</v>
      </c>
      <c r="T747">
        <f t="shared" si="106"/>
        <v>12</v>
      </c>
      <c r="U747" t="str">
        <f t="shared" si="107"/>
        <v>Low Profit</v>
      </c>
    </row>
    <row r="748" spans="1:21" x14ac:dyDescent="0.35">
      <c r="A748" s="5" t="s">
        <v>37</v>
      </c>
      <c r="B748" s="5" t="s">
        <v>225</v>
      </c>
      <c r="C748" t="s">
        <v>72</v>
      </c>
      <c r="D748" t="s">
        <v>971</v>
      </c>
      <c r="E748" t="s">
        <v>23</v>
      </c>
      <c r="F748" t="s">
        <v>66</v>
      </c>
      <c r="G748" s="3">
        <v>42617</v>
      </c>
      <c r="H748">
        <v>474178349</v>
      </c>
      <c r="I748" s="3">
        <v>42639</v>
      </c>
      <c r="J748">
        <v>8766</v>
      </c>
      <c r="K748">
        <v>47.45</v>
      </c>
      <c r="L748">
        <v>31.79</v>
      </c>
      <c r="M748">
        <f t="shared" si="99"/>
        <v>415946.7</v>
      </c>
      <c r="N748">
        <f t="shared" si="100"/>
        <v>278671.14</v>
      </c>
      <c r="O748">
        <f t="shared" si="101"/>
        <v>137275.56</v>
      </c>
      <c r="P748" s="6">
        <f t="shared" si="102"/>
        <v>0.33003161222339306</v>
      </c>
      <c r="Q748">
        <f t="shared" si="103"/>
        <v>22</v>
      </c>
      <c r="R748">
        <f t="shared" si="104"/>
        <v>2016</v>
      </c>
      <c r="S748" t="str">
        <f t="shared" si="105"/>
        <v>September</v>
      </c>
      <c r="T748">
        <f t="shared" si="106"/>
        <v>9</v>
      </c>
      <c r="U748" t="str">
        <f t="shared" si="107"/>
        <v>Medium Profit</v>
      </c>
    </row>
    <row r="749" spans="1:21" x14ac:dyDescent="0.35">
      <c r="A749" s="5" t="s">
        <v>37</v>
      </c>
      <c r="B749" s="5" t="s">
        <v>74</v>
      </c>
      <c r="C749" t="s">
        <v>83</v>
      </c>
      <c r="D749" t="s">
        <v>972</v>
      </c>
      <c r="E749" t="s">
        <v>23</v>
      </c>
      <c r="F749" t="s">
        <v>66</v>
      </c>
      <c r="G749" s="3">
        <v>42570</v>
      </c>
      <c r="H749">
        <v>458942115</v>
      </c>
      <c r="I749" s="3">
        <v>42580</v>
      </c>
      <c r="J749">
        <v>25</v>
      </c>
      <c r="K749">
        <v>81.73</v>
      </c>
      <c r="L749">
        <v>56.67</v>
      </c>
      <c r="M749">
        <f t="shared" si="99"/>
        <v>2043.25</v>
      </c>
      <c r="N749">
        <f t="shared" si="100"/>
        <v>1416.75</v>
      </c>
      <c r="O749">
        <f t="shared" si="101"/>
        <v>626.5</v>
      </c>
      <c r="P749" s="6">
        <f t="shared" si="102"/>
        <v>0.30661935641747218</v>
      </c>
      <c r="Q749">
        <f t="shared" si="103"/>
        <v>10</v>
      </c>
      <c r="R749">
        <f t="shared" si="104"/>
        <v>2016</v>
      </c>
      <c r="S749" t="str">
        <f t="shared" si="105"/>
        <v>July</v>
      </c>
      <c r="T749">
        <f t="shared" si="106"/>
        <v>7</v>
      </c>
      <c r="U749" t="str">
        <f t="shared" si="107"/>
        <v>Low Profit</v>
      </c>
    </row>
    <row r="750" spans="1:21" x14ac:dyDescent="0.35">
      <c r="A750" s="5" t="s">
        <v>50</v>
      </c>
      <c r="B750" s="5" t="s">
        <v>969</v>
      </c>
      <c r="C750" t="s">
        <v>72</v>
      </c>
      <c r="D750" t="s">
        <v>973</v>
      </c>
      <c r="E750" t="s">
        <v>23</v>
      </c>
      <c r="F750" t="s">
        <v>32</v>
      </c>
      <c r="G750" s="3">
        <v>42744</v>
      </c>
      <c r="H750">
        <v>917834603</v>
      </c>
      <c r="I750" s="3">
        <v>42748</v>
      </c>
      <c r="J750">
        <v>6510</v>
      </c>
      <c r="K750">
        <v>47.45</v>
      </c>
      <c r="L750">
        <v>31.79</v>
      </c>
      <c r="M750">
        <f t="shared" si="99"/>
        <v>308899.5</v>
      </c>
      <c r="N750">
        <f t="shared" si="100"/>
        <v>206952.9</v>
      </c>
      <c r="O750">
        <f t="shared" si="101"/>
        <v>101946.6</v>
      </c>
      <c r="P750" s="6">
        <f t="shared" si="102"/>
        <v>0.33003161222339306</v>
      </c>
      <c r="Q750">
        <f t="shared" si="103"/>
        <v>4</v>
      </c>
      <c r="R750">
        <f t="shared" si="104"/>
        <v>2017</v>
      </c>
      <c r="S750" t="str">
        <f t="shared" si="105"/>
        <v>January</v>
      </c>
      <c r="T750">
        <f t="shared" si="106"/>
        <v>1</v>
      </c>
      <c r="U750" t="str">
        <f t="shared" si="107"/>
        <v>Medium Profit</v>
      </c>
    </row>
    <row r="751" spans="1:21" x14ac:dyDescent="0.35">
      <c r="A751" s="5" t="s">
        <v>42</v>
      </c>
      <c r="B751" s="5" t="s">
        <v>102</v>
      </c>
      <c r="C751" t="s">
        <v>83</v>
      </c>
      <c r="D751" t="s">
        <v>974</v>
      </c>
      <c r="E751" t="s">
        <v>23</v>
      </c>
      <c r="F751" t="s">
        <v>41</v>
      </c>
      <c r="G751" s="3">
        <v>42679</v>
      </c>
      <c r="H751">
        <v>947779643</v>
      </c>
      <c r="I751" s="3">
        <v>42709</v>
      </c>
      <c r="J751">
        <v>7913</v>
      </c>
      <c r="K751">
        <v>81.73</v>
      </c>
      <c r="L751">
        <v>56.67</v>
      </c>
      <c r="M751">
        <f t="shared" si="99"/>
        <v>646729.49</v>
      </c>
      <c r="N751">
        <f t="shared" si="100"/>
        <v>448429.71</v>
      </c>
      <c r="O751">
        <f t="shared" si="101"/>
        <v>198299.77999999997</v>
      </c>
      <c r="P751" s="6">
        <f t="shared" si="102"/>
        <v>0.30661935641747212</v>
      </c>
      <c r="Q751">
        <f t="shared" si="103"/>
        <v>30</v>
      </c>
      <c r="R751">
        <f t="shared" si="104"/>
        <v>2016</v>
      </c>
      <c r="S751" t="str">
        <f t="shared" si="105"/>
        <v>November</v>
      </c>
      <c r="T751">
        <f t="shared" si="106"/>
        <v>11</v>
      </c>
      <c r="U751" t="str">
        <f t="shared" si="107"/>
        <v>Medium Profit</v>
      </c>
    </row>
    <row r="752" spans="1:21" x14ac:dyDescent="0.35">
      <c r="A752" s="5" t="s">
        <v>42</v>
      </c>
      <c r="B752" s="5" t="s">
        <v>586</v>
      </c>
      <c r="C752" t="s">
        <v>48</v>
      </c>
      <c r="D752" t="s">
        <v>975</v>
      </c>
      <c r="E752" t="s">
        <v>29</v>
      </c>
      <c r="F752" t="s">
        <v>66</v>
      </c>
      <c r="G752" s="3">
        <v>42308</v>
      </c>
      <c r="H752">
        <v>166013562</v>
      </c>
      <c r="I752" s="3">
        <v>42334</v>
      </c>
      <c r="J752">
        <v>5957</v>
      </c>
      <c r="K752">
        <v>109.28</v>
      </c>
      <c r="L752">
        <v>35.840000000000003</v>
      </c>
      <c r="M752">
        <f t="shared" si="99"/>
        <v>650980.96</v>
      </c>
      <c r="N752">
        <f t="shared" si="100"/>
        <v>213498.88000000003</v>
      </c>
      <c r="O752">
        <f t="shared" si="101"/>
        <v>437482.07999999996</v>
      </c>
      <c r="P752" s="6">
        <f t="shared" si="102"/>
        <v>0.67203513909224011</v>
      </c>
      <c r="Q752">
        <f t="shared" si="103"/>
        <v>26</v>
      </c>
      <c r="R752">
        <f t="shared" si="104"/>
        <v>2015</v>
      </c>
      <c r="S752" t="str">
        <f t="shared" si="105"/>
        <v>October</v>
      </c>
      <c r="T752">
        <f t="shared" si="106"/>
        <v>10</v>
      </c>
      <c r="U752" t="str">
        <f t="shared" si="107"/>
        <v>Medium Profit</v>
      </c>
    </row>
    <row r="753" spans="1:21" x14ac:dyDescent="0.35">
      <c r="A753" s="5" t="s">
        <v>37</v>
      </c>
      <c r="B753" s="5" t="s">
        <v>336</v>
      </c>
      <c r="C753" t="s">
        <v>72</v>
      </c>
      <c r="D753" t="s">
        <v>976</v>
      </c>
      <c r="E753" t="s">
        <v>29</v>
      </c>
      <c r="F753" t="s">
        <v>66</v>
      </c>
      <c r="G753" s="3">
        <v>40568</v>
      </c>
      <c r="H753">
        <v>960085189</v>
      </c>
      <c r="I753" s="3">
        <v>40587</v>
      </c>
      <c r="J753">
        <v>9397</v>
      </c>
      <c r="K753">
        <v>47.45</v>
      </c>
      <c r="L753">
        <v>31.79</v>
      </c>
      <c r="M753">
        <f t="shared" si="99"/>
        <v>445887.65</v>
      </c>
      <c r="N753">
        <f t="shared" si="100"/>
        <v>298730.63</v>
      </c>
      <c r="O753">
        <f t="shared" si="101"/>
        <v>147157.02000000002</v>
      </c>
      <c r="P753" s="6">
        <f t="shared" si="102"/>
        <v>0.33003161222339306</v>
      </c>
      <c r="Q753">
        <f t="shared" si="103"/>
        <v>19</v>
      </c>
      <c r="R753">
        <f t="shared" si="104"/>
        <v>2011</v>
      </c>
      <c r="S753" t="str">
        <f t="shared" si="105"/>
        <v>January</v>
      </c>
      <c r="T753">
        <f t="shared" si="106"/>
        <v>1</v>
      </c>
      <c r="U753" t="str">
        <f t="shared" si="107"/>
        <v>Medium Profit</v>
      </c>
    </row>
    <row r="754" spans="1:21" x14ac:dyDescent="0.35">
      <c r="A754" s="5" t="s">
        <v>42</v>
      </c>
      <c r="B754" s="5" t="s">
        <v>281</v>
      </c>
      <c r="C754" t="s">
        <v>21</v>
      </c>
      <c r="D754" t="s">
        <v>977</v>
      </c>
      <c r="E754" t="s">
        <v>23</v>
      </c>
      <c r="F754" t="s">
        <v>32</v>
      </c>
      <c r="G754" s="3">
        <v>42316</v>
      </c>
      <c r="H754">
        <v>837855851</v>
      </c>
      <c r="I754" s="3">
        <v>42316</v>
      </c>
      <c r="J754">
        <v>9020</v>
      </c>
      <c r="K754">
        <v>437.2</v>
      </c>
      <c r="L754">
        <v>263.33</v>
      </c>
      <c r="M754">
        <f t="shared" si="99"/>
        <v>3943544</v>
      </c>
      <c r="N754">
        <f t="shared" si="100"/>
        <v>2375236.5999999996</v>
      </c>
      <c r="O754">
        <f t="shared" si="101"/>
        <v>1568307.4000000004</v>
      </c>
      <c r="P754" s="6">
        <f t="shared" si="102"/>
        <v>0.39768984446477595</v>
      </c>
      <c r="Q754">
        <f t="shared" si="103"/>
        <v>0</v>
      </c>
      <c r="R754">
        <f t="shared" si="104"/>
        <v>2015</v>
      </c>
      <c r="S754" t="str">
        <f t="shared" si="105"/>
        <v>November</v>
      </c>
      <c r="T754">
        <f t="shared" si="106"/>
        <v>11</v>
      </c>
      <c r="U754" t="str">
        <f t="shared" si="107"/>
        <v>High Profit</v>
      </c>
    </row>
    <row r="755" spans="1:21" x14ac:dyDescent="0.35">
      <c r="A755" s="5" t="s">
        <v>25</v>
      </c>
      <c r="B755" s="5" t="s">
        <v>71</v>
      </c>
      <c r="C755" t="s">
        <v>58</v>
      </c>
      <c r="D755" t="s">
        <v>978</v>
      </c>
      <c r="E755" t="s">
        <v>23</v>
      </c>
      <c r="F755" t="s">
        <v>66</v>
      </c>
      <c r="G755" s="3">
        <v>40353</v>
      </c>
      <c r="H755">
        <v>977499377</v>
      </c>
      <c r="I755" s="3">
        <v>40402</v>
      </c>
      <c r="J755">
        <v>2643</v>
      </c>
      <c r="K755">
        <v>152.58000000000001</v>
      </c>
      <c r="L755">
        <v>97.44</v>
      </c>
      <c r="M755">
        <f t="shared" si="99"/>
        <v>403268.94000000006</v>
      </c>
      <c r="N755">
        <f t="shared" si="100"/>
        <v>257533.91999999998</v>
      </c>
      <c r="O755">
        <f t="shared" si="101"/>
        <v>145735.02000000008</v>
      </c>
      <c r="P755" s="6">
        <f t="shared" si="102"/>
        <v>0.36138419189933163</v>
      </c>
      <c r="Q755">
        <f t="shared" si="103"/>
        <v>49</v>
      </c>
      <c r="R755">
        <f t="shared" si="104"/>
        <v>2010</v>
      </c>
      <c r="S755" t="str">
        <f t="shared" si="105"/>
        <v>June</v>
      </c>
      <c r="T755">
        <f t="shared" si="106"/>
        <v>6</v>
      </c>
      <c r="U755" t="str">
        <f t="shared" si="107"/>
        <v>Medium Profit</v>
      </c>
    </row>
    <row r="756" spans="1:21" x14ac:dyDescent="0.35">
      <c r="A756" s="5" t="s">
        <v>19</v>
      </c>
      <c r="B756" s="5" t="s">
        <v>182</v>
      </c>
      <c r="C756" t="s">
        <v>72</v>
      </c>
      <c r="D756" t="s">
        <v>979</v>
      </c>
      <c r="E756" t="s">
        <v>29</v>
      </c>
      <c r="F756" t="s">
        <v>66</v>
      </c>
      <c r="G756" s="3">
        <v>41697</v>
      </c>
      <c r="H756">
        <v>377502095</v>
      </c>
      <c r="I756" s="3">
        <v>41701</v>
      </c>
      <c r="J756">
        <v>114</v>
      </c>
      <c r="K756">
        <v>47.45</v>
      </c>
      <c r="L756">
        <v>31.79</v>
      </c>
      <c r="M756">
        <f t="shared" si="99"/>
        <v>5409.3</v>
      </c>
      <c r="N756">
        <f t="shared" si="100"/>
        <v>3624.06</v>
      </c>
      <c r="O756">
        <f t="shared" si="101"/>
        <v>1785.2400000000002</v>
      </c>
      <c r="P756" s="6">
        <f t="shared" si="102"/>
        <v>0.33003161222339306</v>
      </c>
      <c r="Q756">
        <f t="shared" si="103"/>
        <v>4</v>
      </c>
      <c r="R756">
        <f t="shared" si="104"/>
        <v>2014</v>
      </c>
      <c r="S756" t="str">
        <f t="shared" si="105"/>
        <v>February</v>
      </c>
      <c r="T756">
        <f t="shared" si="106"/>
        <v>2</v>
      </c>
      <c r="U756" t="str">
        <f t="shared" si="107"/>
        <v>Low Profit</v>
      </c>
    </row>
    <row r="757" spans="1:21" x14ac:dyDescent="0.35">
      <c r="A757" s="5" t="s">
        <v>33</v>
      </c>
      <c r="B757" s="5" t="s">
        <v>143</v>
      </c>
      <c r="C757" t="s">
        <v>92</v>
      </c>
      <c r="D757" t="s">
        <v>980</v>
      </c>
      <c r="E757" t="s">
        <v>23</v>
      </c>
      <c r="F757" t="s">
        <v>41</v>
      </c>
      <c r="G757" s="3">
        <v>41310</v>
      </c>
      <c r="H757">
        <v>806662833</v>
      </c>
      <c r="I757" s="3">
        <v>41360</v>
      </c>
      <c r="J757">
        <v>8313</v>
      </c>
      <c r="K757">
        <v>421.89</v>
      </c>
      <c r="L757">
        <v>364.69</v>
      </c>
      <c r="M757">
        <f t="shared" si="99"/>
        <v>3507171.57</v>
      </c>
      <c r="N757">
        <f t="shared" si="100"/>
        <v>3031667.97</v>
      </c>
      <c r="O757">
        <f t="shared" si="101"/>
        <v>475503.59999999963</v>
      </c>
      <c r="P757" s="6">
        <f t="shared" si="102"/>
        <v>0.13558036455000108</v>
      </c>
      <c r="Q757">
        <f t="shared" si="103"/>
        <v>50</v>
      </c>
      <c r="R757">
        <f t="shared" si="104"/>
        <v>2013</v>
      </c>
      <c r="S757" t="str">
        <f t="shared" si="105"/>
        <v>February</v>
      </c>
      <c r="T757">
        <f t="shared" si="106"/>
        <v>2</v>
      </c>
      <c r="U757" t="str">
        <f t="shared" si="107"/>
        <v>Medium Profit</v>
      </c>
    </row>
    <row r="758" spans="1:21" x14ac:dyDescent="0.35">
      <c r="A758" s="5" t="s">
        <v>50</v>
      </c>
      <c r="B758" s="5" t="s">
        <v>631</v>
      </c>
      <c r="C758" t="s">
        <v>27</v>
      </c>
      <c r="D758" t="s">
        <v>981</v>
      </c>
      <c r="E758" t="s">
        <v>29</v>
      </c>
      <c r="F758" t="s">
        <v>41</v>
      </c>
      <c r="G758" s="3">
        <v>42840</v>
      </c>
      <c r="H758">
        <v>954092919</v>
      </c>
      <c r="I758" s="3">
        <v>42866</v>
      </c>
      <c r="J758">
        <v>6152</v>
      </c>
      <c r="K758">
        <v>154.06</v>
      </c>
      <c r="L758">
        <v>90.93</v>
      </c>
      <c r="M758">
        <f t="shared" si="99"/>
        <v>947777.12</v>
      </c>
      <c r="N758">
        <f t="shared" si="100"/>
        <v>559401.36</v>
      </c>
      <c r="O758">
        <f t="shared" si="101"/>
        <v>388375.76</v>
      </c>
      <c r="P758" s="6">
        <f t="shared" si="102"/>
        <v>0.40977541217707386</v>
      </c>
      <c r="Q758">
        <f t="shared" si="103"/>
        <v>26</v>
      </c>
      <c r="R758">
        <f t="shared" si="104"/>
        <v>2017</v>
      </c>
      <c r="S758" t="str">
        <f t="shared" si="105"/>
        <v>April</v>
      </c>
      <c r="T758">
        <f t="shared" si="106"/>
        <v>4</v>
      </c>
      <c r="U758" t="str">
        <f t="shared" si="107"/>
        <v>Medium Profit</v>
      </c>
    </row>
    <row r="759" spans="1:21" x14ac:dyDescent="0.35">
      <c r="A759" s="5" t="s">
        <v>50</v>
      </c>
      <c r="B759" s="5" t="s">
        <v>353</v>
      </c>
      <c r="C759" t="s">
        <v>92</v>
      </c>
      <c r="D759" t="s">
        <v>982</v>
      </c>
      <c r="E759" t="s">
        <v>29</v>
      </c>
      <c r="F759" t="s">
        <v>66</v>
      </c>
      <c r="G759" s="3">
        <v>40642</v>
      </c>
      <c r="H759">
        <v>479216182</v>
      </c>
      <c r="I759" s="3">
        <v>40659</v>
      </c>
      <c r="J759">
        <v>9572</v>
      </c>
      <c r="K759">
        <v>421.89</v>
      </c>
      <c r="L759">
        <v>364.69</v>
      </c>
      <c r="M759">
        <f t="shared" si="99"/>
        <v>4038331.08</v>
      </c>
      <c r="N759">
        <f t="shared" si="100"/>
        <v>3490812.68</v>
      </c>
      <c r="O759">
        <f t="shared" si="101"/>
        <v>547518.39999999991</v>
      </c>
      <c r="P759" s="6">
        <f t="shared" si="102"/>
        <v>0.13558036455000116</v>
      </c>
      <c r="Q759">
        <f t="shared" si="103"/>
        <v>17</v>
      </c>
      <c r="R759">
        <f t="shared" si="104"/>
        <v>2011</v>
      </c>
      <c r="S759" t="str">
        <f t="shared" si="105"/>
        <v>April</v>
      </c>
      <c r="T759">
        <f t="shared" si="106"/>
        <v>4</v>
      </c>
      <c r="U759" t="str">
        <f t="shared" si="107"/>
        <v>High Profit</v>
      </c>
    </row>
    <row r="760" spans="1:21" x14ac:dyDescent="0.35">
      <c r="A760" s="5" t="s">
        <v>37</v>
      </c>
      <c r="B760" s="5" t="s">
        <v>445</v>
      </c>
      <c r="C760" t="s">
        <v>83</v>
      </c>
      <c r="D760" t="s">
        <v>983</v>
      </c>
      <c r="E760" t="s">
        <v>29</v>
      </c>
      <c r="F760" t="s">
        <v>41</v>
      </c>
      <c r="G760" s="3">
        <v>40525</v>
      </c>
      <c r="H760">
        <v>461768949</v>
      </c>
      <c r="I760" s="3">
        <v>40542</v>
      </c>
      <c r="J760">
        <v>6548</v>
      </c>
      <c r="K760">
        <v>81.73</v>
      </c>
      <c r="L760">
        <v>56.67</v>
      </c>
      <c r="M760">
        <f t="shared" si="99"/>
        <v>535168.04</v>
      </c>
      <c r="N760">
        <f t="shared" si="100"/>
        <v>371075.16000000003</v>
      </c>
      <c r="O760">
        <f t="shared" si="101"/>
        <v>164092.88</v>
      </c>
      <c r="P760" s="6">
        <f t="shared" si="102"/>
        <v>0.30661935641747218</v>
      </c>
      <c r="Q760">
        <f t="shared" si="103"/>
        <v>17</v>
      </c>
      <c r="R760">
        <f t="shared" si="104"/>
        <v>2010</v>
      </c>
      <c r="S760" t="str">
        <f t="shared" si="105"/>
        <v>December</v>
      </c>
      <c r="T760">
        <f t="shared" si="106"/>
        <v>12</v>
      </c>
      <c r="U760" t="str">
        <f t="shared" si="107"/>
        <v>Medium Profit</v>
      </c>
    </row>
    <row r="761" spans="1:21" x14ac:dyDescent="0.35">
      <c r="A761" s="5" t="s">
        <v>33</v>
      </c>
      <c r="B761" s="5" t="s">
        <v>129</v>
      </c>
      <c r="C761" t="s">
        <v>92</v>
      </c>
      <c r="D761" t="s">
        <v>984</v>
      </c>
      <c r="E761" t="s">
        <v>29</v>
      </c>
      <c r="F761" t="s">
        <v>32</v>
      </c>
      <c r="G761" s="3">
        <v>41772</v>
      </c>
      <c r="H761">
        <v>251800048</v>
      </c>
      <c r="I761" s="3">
        <v>41781</v>
      </c>
      <c r="J761">
        <v>2085</v>
      </c>
      <c r="K761">
        <v>421.89</v>
      </c>
      <c r="L761">
        <v>364.69</v>
      </c>
      <c r="M761">
        <f t="shared" si="99"/>
        <v>879640.65</v>
      </c>
      <c r="N761">
        <f t="shared" si="100"/>
        <v>760378.65</v>
      </c>
      <c r="O761">
        <f t="shared" si="101"/>
        <v>119262</v>
      </c>
      <c r="P761" s="6">
        <f t="shared" si="102"/>
        <v>0.13558036455000119</v>
      </c>
      <c r="Q761">
        <f t="shared" si="103"/>
        <v>9</v>
      </c>
      <c r="R761">
        <f t="shared" si="104"/>
        <v>2014</v>
      </c>
      <c r="S761" t="str">
        <f t="shared" si="105"/>
        <v>May</v>
      </c>
      <c r="T761">
        <f t="shared" si="106"/>
        <v>5</v>
      </c>
      <c r="U761" t="str">
        <f t="shared" si="107"/>
        <v>Medium Profit</v>
      </c>
    </row>
    <row r="762" spans="1:21" x14ac:dyDescent="0.35">
      <c r="A762" s="5" t="s">
        <v>50</v>
      </c>
      <c r="B762" s="5" t="s">
        <v>98</v>
      </c>
      <c r="C762" t="s">
        <v>83</v>
      </c>
      <c r="D762" t="s">
        <v>985</v>
      </c>
      <c r="E762" t="s">
        <v>23</v>
      </c>
      <c r="F762" t="s">
        <v>66</v>
      </c>
      <c r="G762" s="3">
        <v>41290</v>
      </c>
      <c r="H762">
        <v>619670808</v>
      </c>
      <c r="I762" s="3">
        <v>41330</v>
      </c>
      <c r="J762">
        <v>3217</v>
      </c>
      <c r="K762">
        <v>81.73</v>
      </c>
      <c r="L762">
        <v>56.67</v>
      </c>
      <c r="M762">
        <f t="shared" si="99"/>
        <v>262925.41000000003</v>
      </c>
      <c r="N762">
        <f t="shared" si="100"/>
        <v>182307.39</v>
      </c>
      <c r="O762">
        <f t="shared" si="101"/>
        <v>80618.020000000019</v>
      </c>
      <c r="P762" s="6">
        <f t="shared" si="102"/>
        <v>0.30661935641747218</v>
      </c>
      <c r="Q762">
        <f t="shared" si="103"/>
        <v>40</v>
      </c>
      <c r="R762">
        <f t="shared" si="104"/>
        <v>2013</v>
      </c>
      <c r="S762" t="str">
        <f t="shared" si="105"/>
        <v>January</v>
      </c>
      <c r="T762">
        <f t="shared" si="106"/>
        <v>1</v>
      </c>
      <c r="U762" t="str">
        <f t="shared" si="107"/>
        <v>Low Profit</v>
      </c>
    </row>
    <row r="763" spans="1:21" x14ac:dyDescent="0.35">
      <c r="A763" s="5" t="s">
        <v>37</v>
      </c>
      <c r="B763" s="5" t="s">
        <v>178</v>
      </c>
      <c r="C763" t="s">
        <v>60</v>
      </c>
      <c r="D763" t="s">
        <v>986</v>
      </c>
      <c r="E763" t="s">
        <v>23</v>
      </c>
      <c r="F763" t="s">
        <v>41</v>
      </c>
      <c r="G763" s="3">
        <v>40521</v>
      </c>
      <c r="H763">
        <v>606055057</v>
      </c>
      <c r="I763" s="3">
        <v>40566</v>
      </c>
      <c r="J763">
        <v>4014</v>
      </c>
      <c r="K763">
        <v>668.27</v>
      </c>
      <c r="L763">
        <v>502.54</v>
      </c>
      <c r="M763">
        <f t="shared" si="99"/>
        <v>2682435.7799999998</v>
      </c>
      <c r="N763">
        <f t="shared" si="100"/>
        <v>2017195.56</v>
      </c>
      <c r="O763">
        <f t="shared" si="101"/>
        <v>665240.21999999974</v>
      </c>
      <c r="P763" s="6">
        <f t="shared" si="102"/>
        <v>0.24799856345489091</v>
      </c>
      <c r="Q763">
        <f t="shared" si="103"/>
        <v>45</v>
      </c>
      <c r="R763">
        <f t="shared" si="104"/>
        <v>2010</v>
      </c>
      <c r="S763" t="str">
        <f t="shared" si="105"/>
        <v>December</v>
      </c>
      <c r="T763">
        <f t="shared" si="106"/>
        <v>12</v>
      </c>
      <c r="U763" t="str">
        <f t="shared" si="107"/>
        <v>High Profit</v>
      </c>
    </row>
    <row r="764" spans="1:21" x14ac:dyDescent="0.35">
      <c r="A764" s="5" t="s">
        <v>33</v>
      </c>
      <c r="B764" s="5" t="s">
        <v>645</v>
      </c>
      <c r="C764" t="s">
        <v>30</v>
      </c>
      <c r="D764" t="s">
        <v>987</v>
      </c>
      <c r="E764" t="s">
        <v>29</v>
      </c>
      <c r="F764" t="s">
        <v>66</v>
      </c>
      <c r="G764" s="3">
        <v>41298</v>
      </c>
      <c r="H764">
        <v>671939122</v>
      </c>
      <c r="I764" s="3">
        <v>41319</v>
      </c>
      <c r="J764">
        <v>573</v>
      </c>
      <c r="K764">
        <v>255.28</v>
      </c>
      <c r="L764">
        <v>159.41999999999999</v>
      </c>
      <c r="M764">
        <f t="shared" si="99"/>
        <v>146275.44</v>
      </c>
      <c r="N764">
        <f t="shared" si="100"/>
        <v>91347.659999999989</v>
      </c>
      <c r="O764">
        <f t="shared" si="101"/>
        <v>54927.780000000013</v>
      </c>
      <c r="P764" s="6">
        <f t="shared" si="102"/>
        <v>0.37550924475086189</v>
      </c>
      <c r="Q764">
        <f t="shared" si="103"/>
        <v>21</v>
      </c>
      <c r="R764">
        <f t="shared" si="104"/>
        <v>2013</v>
      </c>
      <c r="S764" t="str">
        <f t="shared" si="105"/>
        <v>January</v>
      </c>
      <c r="T764">
        <f t="shared" si="106"/>
        <v>1</v>
      </c>
      <c r="U764" t="str">
        <f t="shared" si="107"/>
        <v>Low Profit</v>
      </c>
    </row>
    <row r="765" spans="1:21" x14ac:dyDescent="0.35">
      <c r="A765" s="5" t="s">
        <v>37</v>
      </c>
      <c r="B765" s="5" t="s">
        <v>580</v>
      </c>
      <c r="C765" t="s">
        <v>21</v>
      </c>
      <c r="D765" t="s">
        <v>988</v>
      </c>
      <c r="E765" t="s">
        <v>23</v>
      </c>
      <c r="F765" t="s">
        <v>24</v>
      </c>
      <c r="G765" s="3">
        <v>41695</v>
      </c>
      <c r="H765">
        <v>448621833</v>
      </c>
      <c r="I765" s="3">
        <v>41701</v>
      </c>
      <c r="J765">
        <v>6025</v>
      </c>
      <c r="K765">
        <v>437.2</v>
      </c>
      <c r="L765">
        <v>263.33</v>
      </c>
      <c r="M765">
        <f t="shared" si="99"/>
        <v>2634130</v>
      </c>
      <c r="N765">
        <f t="shared" si="100"/>
        <v>1586563.25</v>
      </c>
      <c r="O765">
        <f t="shared" si="101"/>
        <v>1047566.75</v>
      </c>
      <c r="P765" s="6">
        <f t="shared" si="102"/>
        <v>0.39768984446477584</v>
      </c>
      <c r="Q765">
        <f t="shared" si="103"/>
        <v>6</v>
      </c>
      <c r="R765">
        <f t="shared" si="104"/>
        <v>2014</v>
      </c>
      <c r="S765" t="str">
        <f t="shared" si="105"/>
        <v>February</v>
      </c>
      <c r="T765">
        <f t="shared" si="106"/>
        <v>2</v>
      </c>
      <c r="U765" t="str">
        <f t="shared" si="107"/>
        <v>High Profit</v>
      </c>
    </row>
    <row r="766" spans="1:21" x14ac:dyDescent="0.35">
      <c r="A766" s="5" t="s">
        <v>37</v>
      </c>
      <c r="B766" s="5" t="s">
        <v>139</v>
      </c>
      <c r="C766" t="s">
        <v>39</v>
      </c>
      <c r="D766" t="s">
        <v>989</v>
      </c>
      <c r="E766" t="s">
        <v>29</v>
      </c>
      <c r="F766" t="s">
        <v>24</v>
      </c>
      <c r="G766" s="3">
        <v>42939</v>
      </c>
      <c r="H766">
        <v>987714517</v>
      </c>
      <c r="I766" s="3">
        <v>42989</v>
      </c>
      <c r="J766">
        <v>5530</v>
      </c>
      <c r="K766">
        <v>9.33</v>
      </c>
      <c r="L766">
        <v>6.92</v>
      </c>
      <c r="M766">
        <f t="shared" si="99"/>
        <v>51594.9</v>
      </c>
      <c r="N766">
        <f t="shared" si="100"/>
        <v>38267.599999999999</v>
      </c>
      <c r="O766">
        <f t="shared" si="101"/>
        <v>13327.300000000003</v>
      </c>
      <c r="P766" s="6">
        <f t="shared" si="102"/>
        <v>0.25830653804930337</v>
      </c>
      <c r="Q766">
        <f t="shared" si="103"/>
        <v>50</v>
      </c>
      <c r="R766">
        <f t="shared" si="104"/>
        <v>2017</v>
      </c>
      <c r="S766" t="str">
        <f t="shared" si="105"/>
        <v>July</v>
      </c>
      <c r="T766">
        <f t="shared" si="106"/>
        <v>7</v>
      </c>
      <c r="U766" t="str">
        <f t="shared" si="107"/>
        <v>Low Profit</v>
      </c>
    </row>
    <row r="767" spans="1:21" x14ac:dyDescent="0.35">
      <c r="A767" s="5" t="s">
        <v>37</v>
      </c>
      <c r="B767" s="5" t="s">
        <v>76</v>
      </c>
      <c r="C767" t="s">
        <v>60</v>
      </c>
      <c r="D767" t="s">
        <v>990</v>
      </c>
      <c r="E767" t="s">
        <v>29</v>
      </c>
      <c r="F767" t="s">
        <v>41</v>
      </c>
      <c r="G767" s="3">
        <v>42497</v>
      </c>
      <c r="H767">
        <v>711141002</v>
      </c>
      <c r="I767" s="3">
        <v>42535</v>
      </c>
      <c r="J767">
        <v>1280</v>
      </c>
      <c r="K767">
        <v>668.27</v>
      </c>
      <c r="L767">
        <v>502.54</v>
      </c>
      <c r="M767">
        <f t="shared" si="99"/>
        <v>855385.59999999998</v>
      </c>
      <c r="N767">
        <f t="shared" si="100"/>
        <v>643251.20000000007</v>
      </c>
      <c r="O767">
        <f t="shared" si="101"/>
        <v>212134.39999999991</v>
      </c>
      <c r="P767" s="6">
        <f t="shared" si="102"/>
        <v>0.24799856345489088</v>
      </c>
      <c r="Q767">
        <f t="shared" si="103"/>
        <v>38</v>
      </c>
      <c r="R767">
        <f t="shared" si="104"/>
        <v>2016</v>
      </c>
      <c r="S767" t="str">
        <f t="shared" si="105"/>
        <v>May</v>
      </c>
      <c r="T767">
        <f t="shared" si="106"/>
        <v>5</v>
      </c>
      <c r="U767" t="str">
        <f t="shared" si="107"/>
        <v>Medium Profit</v>
      </c>
    </row>
    <row r="768" spans="1:21" x14ac:dyDescent="0.35">
      <c r="A768" s="5" t="s">
        <v>37</v>
      </c>
      <c r="B768" s="5" t="s">
        <v>991</v>
      </c>
      <c r="C768" t="s">
        <v>69</v>
      </c>
      <c r="D768" t="s">
        <v>992</v>
      </c>
      <c r="E768" t="s">
        <v>29</v>
      </c>
      <c r="F768" t="s">
        <v>32</v>
      </c>
      <c r="G768" s="3">
        <v>40992</v>
      </c>
      <c r="H768">
        <v>361137616</v>
      </c>
      <c r="I768" s="3">
        <v>41017</v>
      </c>
      <c r="J768">
        <v>7501</v>
      </c>
      <c r="K768">
        <v>651.21</v>
      </c>
      <c r="L768">
        <v>524.96</v>
      </c>
      <c r="M768">
        <f t="shared" si="99"/>
        <v>4884726.21</v>
      </c>
      <c r="N768">
        <f t="shared" si="100"/>
        <v>3937724.9600000004</v>
      </c>
      <c r="O768">
        <f t="shared" si="101"/>
        <v>947001.24999999953</v>
      </c>
      <c r="P768" s="6">
        <f t="shared" si="102"/>
        <v>0.19386987300563557</v>
      </c>
      <c r="Q768">
        <f t="shared" si="103"/>
        <v>25</v>
      </c>
      <c r="R768">
        <f t="shared" si="104"/>
        <v>2012</v>
      </c>
      <c r="S768" t="str">
        <f t="shared" si="105"/>
        <v>March</v>
      </c>
      <c r="T768">
        <f t="shared" si="106"/>
        <v>3</v>
      </c>
      <c r="U768" t="str">
        <f t="shared" si="107"/>
        <v>High Profit</v>
      </c>
    </row>
    <row r="769" spans="1:21" x14ac:dyDescent="0.35">
      <c r="A769" s="5" t="s">
        <v>33</v>
      </c>
      <c r="B769" s="5" t="s">
        <v>141</v>
      </c>
      <c r="C769" t="s">
        <v>60</v>
      </c>
      <c r="D769" t="s">
        <v>993</v>
      </c>
      <c r="E769" t="s">
        <v>23</v>
      </c>
      <c r="F769" t="s">
        <v>41</v>
      </c>
      <c r="G769" s="3">
        <v>40819</v>
      </c>
      <c r="H769">
        <v>750253188</v>
      </c>
      <c r="I769" s="3">
        <v>40868</v>
      </c>
      <c r="J769">
        <v>5446</v>
      </c>
      <c r="K769">
        <v>668.27</v>
      </c>
      <c r="L769">
        <v>502.54</v>
      </c>
      <c r="M769">
        <f t="shared" si="99"/>
        <v>3639398.42</v>
      </c>
      <c r="N769">
        <f t="shared" si="100"/>
        <v>2736832.8400000003</v>
      </c>
      <c r="O769">
        <f t="shared" si="101"/>
        <v>902565.57999999961</v>
      </c>
      <c r="P769" s="6">
        <f t="shared" si="102"/>
        <v>0.24799856345489088</v>
      </c>
      <c r="Q769">
        <f t="shared" si="103"/>
        <v>49</v>
      </c>
      <c r="R769">
        <f t="shared" si="104"/>
        <v>2011</v>
      </c>
      <c r="S769" t="str">
        <f t="shared" si="105"/>
        <v>October</v>
      </c>
      <c r="T769">
        <f t="shared" si="106"/>
        <v>10</v>
      </c>
      <c r="U769" t="str">
        <f t="shared" si="107"/>
        <v>High Profit</v>
      </c>
    </row>
    <row r="770" spans="1:21" x14ac:dyDescent="0.35">
      <c r="A770" s="5" t="s">
        <v>50</v>
      </c>
      <c r="B770" s="5" t="s">
        <v>195</v>
      </c>
      <c r="C770" t="s">
        <v>69</v>
      </c>
      <c r="D770" t="s">
        <v>994</v>
      </c>
      <c r="E770" t="s">
        <v>29</v>
      </c>
      <c r="F770" t="s">
        <v>32</v>
      </c>
      <c r="G770" s="3">
        <v>41995</v>
      </c>
      <c r="H770">
        <v>511349046</v>
      </c>
      <c r="I770" s="3">
        <v>42006</v>
      </c>
      <c r="J770">
        <v>8401</v>
      </c>
      <c r="K770">
        <v>651.21</v>
      </c>
      <c r="L770">
        <v>524.96</v>
      </c>
      <c r="M770">
        <f t="shared" si="99"/>
        <v>5470815.21</v>
      </c>
      <c r="N770">
        <f t="shared" si="100"/>
        <v>4410188.96</v>
      </c>
      <c r="O770">
        <f t="shared" si="101"/>
        <v>1060626.25</v>
      </c>
      <c r="P770" s="6">
        <f t="shared" si="102"/>
        <v>0.19386987300563566</v>
      </c>
      <c r="Q770">
        <f t="shared" si="103"/>
        <v>11</v>
      </c>
      <c r="R770">
        <f t="shared" si="104"/>
        <v>2014</v>
      </c>
      <c r="S770" t="str">
        <f t="shared" si="105"/>
        <v>December</v>
      </c>
      <c r="T770">
        <f t="shared" si="106"/>
        <v>12</v>
      </c>
      <c r="U770" t="str">
        <f t="shared" si="107"/>
        <v>High Profit</v>
      </c>
    </row>
    <row r="771" spans="1:21" x14ac:dyDescent="0.35">
      <c r="A771" s="5" t="s">
        <v>37</v>
      </c>
      <c r="B771" s="5" t="s">
        <v>278</v>
      </c>
      <c r="C771" t="s">
        <v>83</v>
      </c>
      <c r="D771" t="s">
        <v>995</v>
      </c>
      <c r="E771" t="s">
        <v>23</v>
      </c>
      <c r="F771" t="s">
        <v>66</v>
      </c>
      <c r="G771" s="3">
        <v>40778</v>
      </c>
      <c r="H771">
        <v>147599017</v>
      </c>
      <c r="I771" s="3">
        <v>40783</v>
      </c>
      <c r="J771">
        <v>6684</v>
      </c>
      <c r="K771">
        <v>81.73</v>
      </c>
      <c r="L771">
        <v>56.67</v>
      </c>
      <c r="M771">
        <f t="shared" ref="M771:M834" si="108">J771*K771</f>
        <v>546283.32000000007</v>
      </c>
      <c r="N771">
        <f t="shared" ref="N771:N834" si="109">J771*L771</f>
        <v>378782.28</v>
      </c>
      <c r="O771">
        <f t="shared" ref="O771:O834" si="110">M771-N771</f>
        <v>167501.04000000004</v>
      </c>
      <c r="P771" s="6">
        <f t="shared" ref="P771:P834" si="111">O771/M771</f>
        <v>0.30661935641747218</v>
      </c>
      <c r="Q771">
        <f t="shared" ref="Q771:Q834" si="112">I771-G771</f>
        <v>5</v>
      </c>
      <c r="R771">
        <f t="shared" ref="R771:R834" si="113">YEAR(G771)</f>
        <v>2011</v>
      </c>
      <c r="S771" t="str">
        <f t="shared" ref="S771:S834" si="114">TEXT(G771,"mmmm")</f>
        <v>August</v>
      </c>
      <c r="T771">
        <f t="shared" ref="T771:T834" si="115">MONTH(G771)</f>
        <v>8</v>
      </c>
      <c r="U771" t="str">
        <f t="shared" ref="U771:U834" si="116">IF(O771&gt;=500000,"High Profit",
IF(O771&gt;=100000,"Medium Profit","Low Profit"))</f>
        <v>Medium Profit</v>
      </c>
    </row>
    <row r="772" spans="1:21" x14ac:dyDescent="0.35">
      <c r="A772" s="5" t="s">
        <v>42</v>
      </c>
      <c r="B772" s="5" t="s">
        <v>285</v>
      </c>
      <c r="C772" t="s">
        <v>72</v>
      </c>
      <c r="D772" t="s">
        <v>996</v>
      </c>
      <c r="E772" t="s">
        <v>29</v>
      </c>
      <c r="F772" t="s">
        <v>41</v>
      </c>
      <c r="G772" s="3">
        <v>42112</v>
      </c>
      <c r="H772">
        <v>682489430</v>
      </c>
      <c r="I772" s="3">
        <v>42147</v>
      </c>
      <c r="J772">
        <v>2644</v>
      </c>
      <c r="K772">
        <v>47.45</v>
      </c>
      <c r="L772">
        <v>31.79</v>
      </c>
      <c r="M772">
        <f t="shared" si="108"/>
        <v>125457.8</v>
      </c>
      <c r="N772">
        <f t="shared" si="109"/>
        <v>84052.76</v>
      </c>
      <c r="O772">
        <f t="shared" si="110"/>
        <v>41405.040000000008</v>
      </c>
      <c r="P772" s="6">
        <f t="shared" si="111"/>
        <v>0.33003161222339311</v>
      </c>
      <c r="Q772">
        <f t="shared" si="112"/>
        <v>35</v>
      </c>
      <c r="R772">
        <f t="shared" si="113"/>
        <v>2015</v>
      </c>
      <c r="S772" t="str">
        <f t="shared" si="114"/>
        <v>April</v>
      </c>
      <c r="T772">
        <f t="shared" si="115"/>
        <v>4</v>
      </c>
      <c r="U772" t="str">
        <f t="shared" si="116"/>
        <v>Low Profit</v>
      </c>
    </row>
    <row r="773" spans="1:21" x14ac:dyDescent="0.35">
      <c r="A773" s="5" t="s">
        <v>33</v>
      </c>
      <c r="B773" s="5" t="s">
        <v>64</v>
      </c>
      <c r="C773" t="s">
        <v>27</v>
      </c>
      <c r="D773" t="s">
        <v>997</v>
      </c>
      <c r="E773" t="s">
        <v>23</v>
      </c>
      <c r="F773" t="s">
        <v>24</v>
      </c>
      <c r="G773" s="3">
        <v>41650</v>
      </c>
      <c r="H773">
        <v>509819114</v>
      </c>
      <c r="I773" s="3">
        <v>41693</v>
      </c>
      <c r="J773">
        <v>5660</v>
      </c>
      <c r="K773">
        <v>154.06</v>
      </c>
      <c r="L773">
        <v>90.93</v>
      </c>
      <c r="M773">
        <f t="shared" si="108"/>
        <v>871979.6</v>
      </c>
      <c r="N773">
        <f t="shared" si="109"/>
        <v>514663.80000000005</v>
      </c>
      <c r="O773">
        <f t="shared" si="110"/>
        <v>357315.79999999993</v>
      </c>
      <c r="P773" s="6">
        <f t="shared" si="111"/>
        <v>0.40977541217707381</v>
      </c>
      <c r="Q773">
        <f t="shared" si="112"/>
        <v>43</v>
      </c>
      <c r="R773">
        <f t="shared" si="113"/>
        <v>2014</v>
      </c>
      <c r="S773" t="str">
        <f t="shared" si="114"/>
        <v>January</v>
      </c>
      <c r="T773">
        <f t="shared" si="115"/>
        <v>1</v>
      </c>
      <c r="U773" t="str">
        <f t="shared" si="116"/>
        <v>Medium Profit</v>
      </c>
    </row>
    <row r="774" spans="1:21" x14ac:dyDescent="0.35">
      <c r="A774" s="5" t="s">
        <v>42</v>
      </c>
      <c r="B774" s="5" t="s">
        <v>249</v>
      </c>
      <c r="C774" t="s">
        <v>69</v>
      </c>
      <c r="D774" t="s">
        <v>998</v>
      </c>
      <c r="E774" t="s">
        <v>23</v>
      </c>
      <c r="F774" t="s">
        <v>24</v>
      </c>
      <c r="G774" s="3">
        <v>40966</v>
      </c>
      <c r="H774">
        <v>343699395</v>
      </c>
      <c r="I774" s="3">
        <v>41001</v>
      </c>
      <c r="J774">
        <v>7144</v>
      </c>
      <c r="K774">
        <v>651.21</v>
      </c>
      <c r="L774">
        <v>524.96</v>
      </c>
      <c r="M774">
        <f t="shared" si="108"/>
        <v>4652244.24</v>
      </c>
      <c r="N774">
        <f t="shared" si="109"/>
        <v>3750314.24</v>
      </c>
      <c r="O774">
        <f t="shared" si="110"/>
        <v>901930</v>
      </c>
      <c r="P774" s="6">
        <f t="shared" si="111"/>
        <v>0.19386987300563566</v>
      </c>
      <c r="Q774">
        <f t="shared" si="112"/>
        <v>35</v>
      </c>
      <c r="R774">
        <f t="shared" si="113"/>
        <v>2012</v>
      </c>
      <c r="S774" t="str">
        <f t="shared" si="114"/>
        <v>February</v>
      </c>
      <c r="T774">
        <f t="shared" si="115"/>
        <v>2</v>
      </c>
      <c r="U774" t="str">
        <f t="shared" si="116"/>
        <v>High Profit</v>
      </c>
    </row>
    <row r="775" spans="1:21" x14ac:dyDescent="0.35">
      <c r="A775" s="5" t="s">
        <v>42</v>
      </c>
      <c r="B775" s="5" t="s">
        <v>159</v>
      </c>
      <c r="C775" t="s">
        <v>48</v>
      </c>
      <c r="D775" t="s">
        <v>999</v>
      </c>
      <c r="E775" t="s">
        <v>23</v>
      </c>
      <c r="F775" t="s">
        <v>66</v>
      </c>
      <c r="G775" s="3">
        <v>40637</v>
      </c>
      <c r="H775">
        <v>968554103</v>
      </c>
      <c r="I775" s="3">
        <v>40641</v>
      </c>
      <c r="J775">
        <v>5537</v>
      </c>
      <c r="K775">
        <v>109.28</v>
      </c>
      <c r="L775">
        <v>35.840000000000003</v>
      </c>
      <c r="M775">
        <f t="shared" si="108"/>
        <v>605083.36</v>
      </c>
      <c r="N775">
        <f t="shared" si="109"/>
        <v>198446.08000000002</v>
      </c>
      <c r="O775">
        <f t="shared" si="110"/>
        <v>406637.27999999997</v>
      </c>
      <c r="P775" s="6">
        <f t="shared" si="111"/>
        <v>0.67203513909224011</v>
      </c>
      <c r="Q775">
        <f t="shared" si="112"/>
        <v>4</v>
      </c>
      <c r="R775">
        <f t="shared" si="113"/>
        <v>2011</v>
      </c>
      <c r="S775" t="str">
        <f t="shared" si="114"/>
        <v>April</v>
      </c>
      <c r="T775">
        <f t="shared" si="115"/>
        <v>4</v>
      </c>
      <c r="U775" t="str">
        <f t="shared" si="116"/>
        <v>Medium Profit</v>
      </c>
    </row>
    <row r="776" spans="1:21" x14ac:dyDescent="0.35">
      <c r="A776" s="5" t="s">
        <v>42</v>
      </c>
      <c r="B776" s="5" t="s">
        <v>137</v>
      </c>
      <c r="C776" t="s">
        <v>72</v>
      </c>
      <c r="D776" t="s">
        <v>1000</v>
      </c>
      <c r="E776" t="s">
        <v>29</v>
      </c>
      <c r="F776" t="s">
        <v>24</v>
      </c>
      <c r="G776" s="3">
        <v>41634</v>
      </c>
      <c r="H776">
        <v>989119565</v>
      </c>
      <c r="I776" s="3">
        <v>41645</v>
      </c>
      <c r="J776">
        <v>1315</v>
      </c>
      <c r="K776">
        <v>47.45</v>
      </c>
      <c r="L776">
        <v>31.79</v>
      </c>
      <c r="M776">
        <f t="shared" si="108"/>
        <v>62396.750000000007</v>
      </c>
      <c r="N776">
        <f t="shared" si="109"/>
        <v>41803.85</v>
      </c>
      <c r="O776">
        <f t="shared" si="110"/>
        <v>20592.900000000009</v>
      </c>
      <c r="P776" s="6">
        <f t="shared" si="111"/>
        <v>0.33003161222339317</v>
      </c>
      <c r="Q776">
        <f t="shared" si="112"/>
        <v>11</v>
      </c>
      <c r="R776">
        <f t="shared" si="113"/>
        <v>2013</v>
      </c>
      <c r="S776" t="str">
        <f t="shared" si="114"/>
        <v>December</v>
      </c>
      <c r="T776">
        <f t="shared" si="115"/>
        <v>12</v>
      </c>
      <c r="U776" t="str">
        <f t="shared" si="116"/>
        <v>Low Profit</v>
      </c>
    </row>
    <row r="777" spans="1:21" x14ac:dyDescent="0.35">
      <c r="A777" s="5" t="s">
        <v>42</v>
      </c>
      <c r="B777" s="5" t="s">
        <v>257</v>
      </c>
      <c r="C777" t="s">
        <v>27</v>
      </c>
      <c r="D777" t="s">
        <v>1001</v>
      </c>
      <c r="E777" t="s">
        <v>23</v>
      </c>
      <c r="F777" t="s">
        <v>24</v>
      </c>
      <c r="G777" s="3">
        <v>41164</v>
      </c>
      <c r="H777">
        <v>880444610</v>
      </c>
      <c r="I777" s="3">
        <v>41213</v>
      </c>
      <c r="J777">
        <v>1980</v>
      </c>
      <c r="K777">
        <v>154.06</v>
      </c>
      <c r="L777">
        <v>90.93</v>
      </c>
      <c r="M777">
        <f t="shared" si="108"/>
        <v>305038.8</v>
      </c>
      <c r="N777">
        <f t="shared" si="109"/>
        <v>180041.40000000002</v>
      </c>
      <c r="O777">
        <f t="shared" si="110"/>
        <v>124997.39999999997</v>
      </c>
      <c r="P777" s="6">
        <f t="shared" si="111"/>
        <v>0.40977541217707375</v>
      </c>
      <c r="Q777">
        <f t="shared" si="112"/>
        <v>49</v>
      </c>
      <c r="R777">
        <f t="shared" si="113"/>
        <v>2012</v>
      </c>
      <c r="S777" t="str">
        <f t="shared" si="114"/>
        <v>September</v>
      </c>
      <c r="T777">
        <f t="shared" si="115"/>
        <v>9</v>
      </c>
      <c r="U777" t="str">
        <f t="shared" si="116"/>
        <v>Medium Profit</v>
      </c>
    </row>
    <row r="778" spans="1:21" x14ac:dyDescent="0.35">
      <c r="A778" s="5" t="s">
        <v>50</v>
      </c>
      <c r="B778" s="5" t="s">
        <v>456</v>
      </c>
      <c r="C778" t="s">
        <v>27</v>
      </c>
      <c r="D778" t="s">
        <v>1002</v>
      </c>
      <c r="E778" t="s">
        <v>23</v>
      </c>
      <c r="F778" t="s">
        <v>66</v>
      </c>
      <c r="G778" s="3">
        <v>42357</v>
      </c>
      <c r="H778">
        <v>737890565</v>
      </c>
      <c r="I778" s="3">
        <v>42384</v>
      </c>
      <c r="J778">
        <v>7071</v>
      </c>
      <c r="K778">
        <v>154.06</v>
      </c>
      <c r="L778">
        <v>90.93</v>
      </c>
      <c r="M778">
        <f t="shared" si="108"/>
        <v>1089358.26</v>
      </c>
      <c r="N778">
        <f t="shared" si="109"/>
        <v>642966.03</v>
      </c>
      <c r="O778">
        <f t="shared" si="110"/>
        <v>446392.23</v>
      </c>
      <c r="P778" s="6">
        <f t="shared" si="111"/>
        <v>0.40977541217707386</v>
      </c>
      <c r="Q778">
        <f t="shared" si="112"/>
        <v>27</v>
      </c>
      <c r="R778">
        <f t="shared" si="113"/>
        <v>2015</v>
      </c>
      <c r="S778" t="str">
        <f t="shared" si="114"/>
        <v>December</v>
      </c>
      <c r="T778">
        <f t="shared" si="115"/>
        <v>12</v>
      </c>
      <c r="U778" t="str">
        <f t="shared" si="116"/>
        <v>Medium Profit</v>
      </c>
    </row>
    <row r="779" spans="1:21" x14ac:dyDescent="0.35">
      <c r="A779" s="5" t="s">
        <v>37</v>
      </c>
      <c r="B779" s="5" t="s">
        <v>278</v>
      </c>
      <c r="C779" t="s">
        <v>27</v>
      </c>
      <c r="D779" t="s">
        <v>1003</v>
      </c>
      <c r="E779" t="s">
        <v>29</v>
      </c>
      <c r="F779" t="s">
        <v>24</v>
      </c>
      <c r="G779" s="3">
        <v>41816</v>
      </c>
      <c r="H779">
        <v>727131259</v>
      </c>
      <c r="I779" s="3">
        <v>41860</v>
      </c>
      <c r="J779">
        <v>3153</v>
      </c>
      <c r="K779">
        <v>154.06</v>
      </c>
      <c r="L779">
        <v>90.93</v>
      </c>
      <c r="M779">
        <f t="shared" si="108"/>
        <v>485751.18</v>
      </c>
      <c r="N779">
        <f t="shared" si="109"/>
        <v>286702.29000000004</v>
      </c>
      <c r="O779">
        <f t="shared" si="110"/>
        <v>199048.88999999996</v>
      </c>
      <c r="P779" s="6">
        <f t="shared" si="111"/>
        <v>0.40977541217707381</v>
      </c>
      <c r="Q779">
        <f t="shared" si="112"/>
        <v>44</v>
      </c>
      <c r="R779">
        <f t="shared" si="113"/>
        <v>2014</v>
      </c>
      <c r="S779" t="str">
        <f t="shared" si="114"/>
        <v>June</v>
      </c>
      <c r="T779">
        <f t="shared" si="115"/>
        <v>6</v>
      </c>
      <c r="U779" t="str">
        <f t="shared" si="116"/>
        <v>Medium Profit</v>
      </c>
    </row>
    <row r="780" spans="1:21" x14ac:dyDescent="0.35">
      <c r="A780" s="5" t="s">
        <v>37</v>
      </c>
      <c r="B780" s="5" t="s">
        <v>260</v>
      </c>
      <c r="C780" t="s">
        <v>69</v>
      </c>
      <c r="D780" t="s">
        <v>1004</v>
      </c>
      <c r="E780" t="s">
        <v>23</v>
      </c>
      <c r="F780" t="s">
        <v>66</v>
      </c>
      <c r="G780" s="3">
        <v>42065</v>
      </c>
      <c r="H780">
        <v>634153020</v>
      </c>
      <c r="I780" s="3">
        <v>42074</v>
      </c>
      <c r="J780">
        <v>8826</v>
      </c>
      <c r="K780">
        <v>651.21</v>
      </c>
      <c r="L780">
        <v>524.96</v>
      </c>
      <c r="M780">
        <f t="shared" si="108"/>
        <v>5747579.46</v>
      </c>
      <c r="N780">
        <f t="shared" si="109"/>
        <v>4633296.96</v>
      </c>
      <c r="O780">
        <f t="shared" si="110"/>
        <v>1114282.5</v>
      </c>
      <c r="P780" s="6">
        <f t="shared" si="111"/>
        <v>0.19386987300563566</v>
      </c>
      <c r="Q780">
        <f t="shared" si="112"/>
        <v>9</v>
      </c>
      <c r="R780">
        <f t="shared" si="113"/>
        <v>2015</v>
      </c>
      <c r="S780" t="str">
        <f t="shared" si="114"/>
        <v>March</v>
      </c>
      <c r="T780">
        <f t="shared" si="115"/>
        <v>3</v>
      </c>
      <c r="U780" t="str">
        <f t="shared" si="116"/>
        <v>High Profit</v>
      </c>
    </row>
    <row r="781" spans="1:21" x14ac:dyDescent="0.35">
      <c r="A781" s="5" t="s">
        <v>33</v>
      </c>
      <c r="B781" s="5" t="s">
        <v>123</v>
      </c>
      <c r="C781" t="s">
        <v>72</v>
      </c>
      <c r="D781" t="s">
        <v>1005</v>
      </c>
      <c r="E781" t="s">
        <v>29</v>
      </c>
      <c r="F781" t="s">
        <v>41</v>
      </c>
      <c r="G781" s="3">
        <v>41868</v>
      </c>
      <c r="H781">
        <v>315254676</v>
      </c>
      <c r="I781" s="3">
        <v>41890</v>
      </c>
      <c r="J781">
        <v>9719</v>
      </c>
      <c r="K781">
        <v>47.45</v>
      </c>
      <c r="L781">
        <v>31.79</v>
      </c>
      <c r="M781">
        <f t="shared" si="108"/>
        <v>461166.55000000005</v>
      </c>
      <c r="N781">
        <f t="shared" si="109"/>
        <v>308967.01</v>
      </c>
      <c r="O781">
        <f t="shared" si="110"/>
        <v>152199.54000000004</v>
      </c>
      <c r="P781" s="6">
        <f t="shared" si="111"/>
        <v>0.33003161222339311</v>
      </c>
      <c r="Q781">
        <f t="shared" si="112"/>
        <v>22</v>
      </c>
      <c r="R781">
        <f t="shared" si="113"/>
        <v>2014</v>
      </c>
      <c r="S781" t="str">
        <f t="shared" si="114"/>
        <v>August</v>
      </c>
      <c r="T781">
        <f t="shared" si="115"/>
        <v>8</v>
      </c>
      <c r="U781" t="str">
        <f t="shared" si="116"/>
        <v>Medium Profit</v>
      </c>
    </row>
    <row r="782" spans="1:21" x14ac:dyDescent="0.35">
      <c r="A782" s="5" t="s">
        <v>50</v>
      </c>
      <c r="B782" s="5" t="s">
        <v>152</v>
      </c>
      <c r="C782" t="s">
        <v>83</v>
      </c>
      <c r="D782" t="s">
        <v>1006</v>
      </c>
      <c r="E782" t="s">
        <v>23</v>
      </c>
      <c r="F782" t="s">
        <v>24</v>
      </c>
      <c r="G782" s="3">
        <v>40378</v>
      </c>
      <c r="H782">
        <v>147047555</v>
      </c>
      <c r="I782" s="3">
        <v>40424</v>
      </c>
      <c r="J782">
        <v>3494</v>
      </c>
      <c r="K782">
        <v>81.73</v>
      </c>
      <c r="L782">
        <v>56.67</v>
      </c>
      <c r="M782">
        <f t="shared" si="108"/>
        <v>285564.62</v>
      </c>
      <c r="N782">
        <f t="shared" si="109"/>
        <v>198004.98</v>
      </c>
      <c r="O782">
        <f t="shared" si="110"/>
        <v>87559.639999999985</v>
      </c>
      <c r="P782" s="6">
        <f t="shared" si="111"/>
        <v>0.30661935641747212</v>
      </c>
      <c r="Q782">
        <f t="shared" si="112"/>
        <v>46</v>
      </c>
      <c r="R782">
        <f t="shared" si="113"/>
        <v>2010</v>
      </c>
      <c r="S782" t="str">
        <f t="shared" si="114"/>
        <v>July</v>
      </c>
      <c r="T782">
        <f t="shared" si="115"/>
        <v>7</v>
      </c>
      <c r="U782" t="str">
        <f t="shared" si="116"/>
        <v>Low Profit</v>
      </c>
    </row>
    <row r="783" spans="1:21" x14ac:dyDescent="0.35">
      <c r="A783" s="5" t="s">
        <v>37</v>
      </c>
      <c r="B783" s="5" t="s">
        <v>445</v>
      </c>
      <c r="C783" t="s">
        <v>60</v>
      </c>
      <c r="D783" t="s">
        <v>1007</v>
      </c>
      <c r="E783" t="s">
        <v>29</v>
      </c>
      <c r="F783" t="s">
        <v>66</v>
      </c>
      <c r="G783" s="3">
        <v>41288</v>
      </c>
      <c r="H783">
        <v>576455485</v>
      </c>
      <c r="I783" s="3">
        <v>41318</v>
      </c>
      <c r="J783">
        <v>4843</v>
      </c>
      <c r="K783">
        <v>668.27</v>
      </c>
      <c r="L783">
        <v>502.54</v>
      </c>
      <c r="M783">
        <f t="shared" si="108"/>
        <v>3236431.61</v>
      </c>
      <c r="N783">
        <f t="shared" si="109"/>
        <v>2433801.2200000002</v>
      </c>
      <c r="O783">
        <f t="shared" si="110"/>
        <v>802630.38999999966</v>
      </c>
      <c r="P783" s="6">
        <f t="shared" si="111"/>
        <v>0.24799856345489088</v>
      </c>
      <c r="Q783">
        <f t="shared" si="112"/>
        <v>30</v>
      </c>
      <c r="R783">
        <f t="shared" si="113"/>
        <v>2013</v>
      </c>
      <c r="S783" t="str">
        <f t="shared" si="114"/>
        <v>January</v>
      </c>
      <c r="T783">
        <f t="shared" si="115"/>
        <v>1</v>
      </c>
      <c r="U783" t="str">
        <f t="shared" si="116"/>
        <v>High Profit</v>
      </c>
    </row>
    <row r="784" spans="1:21" x14ac:dyDescent="0.35">
      <c r="A784" s="5" t="s">
        <v>19</v>
      </c>
      <c r="B784" s="5" t="s">
        <v>669</v>
      </c>
      <c r="C784" t="s">
        <v>58</v>
      </c>
      <c r="D784" t="s">
        <v>1008</v>
      </c>
      <c r="E784" t="s">
        <v>23</v>
      </c>
      <c r="F784" t="s">
        <v>66</v>
      </c>
      <c r="G784" s="3">
        <v>40378</v>
      </c>
      <c r="H784">
        <v>770714795</v>
      </c>
      <c r="I784" s="3">
        <v>40416</v>
      </c>
      <c r="J784">
        <v>490</v>
      </c>
      <c r="K784">
        <v>152.58000000000001</v>
      </c>
      <c r="L784">
        <v>97.44</v>
      </c>
      <c r="M784">
        <f t="shared" si="108"/>
        <v>74764.200000000012</v>
      </c>
      <c r="N784">
        <f t="shared" si="109"/>
        <v>47745.599999999999</v>
      </c>
      <c r="O784">
        <f t="shared" si="110"/>
        <v>27018.600000000013</v>
      </c>
      <c r="P784" s="6">
        <f t="shared" si="111"/>
        <v>0.36138419189933163</v>
      </c>
      <c r="Q784">
        <f t="shared" si="112"/>
        <v>38</v>
      </c>
      <c r="R784">
        <f t="shared" si="113"/>
        <v>2010</v>
      </c>
      <c r="S784" t="str">
        <f t="shared" si="114"/>
        <v>July</v>
      </c>
      <c r="T784">
        <f t="shared" si="115"/>
        <v>7</v>
      </c>
      <c r="U784" t="str">
        <f t="shared" si="116"/>
        <v>Low Profit</v>
      </c>
    </row>
    <row r="785" spans="1:21" x14ac:dyDescent="0.35">
      <c r="A785" s="5" t="s">
        <v>37</v>
      </c>
      <c r="B785" s="5" t="s">
        <v>991</v>
      </c>
      <c r="C785" t="s">
        <v>21</v>
      </c>
      <c r="D785" t="s">
        <v>1009</v>
      </c>
      <c r="E785" t="s">
        <v>23</v>
      </c>
      <c r="F785" t="s">
        <v>41</v>
      </c>
      <c r="G785" s="3">
        <v>40735</v>
      </c>
      <c r="H785">
        <v>867374312</v>
      </c>
      <c r="I785" s="3">
        <v>40758</v>
      </c>
      <c r="J785">
        <v>4189</v>
      </c>
      <c r="K785">
        <v>437.2</v>
      </c>
      <c r="L785">
        <v>263.33</v>
      </c>
      <c r="M785">
        <f t="shared" si="108"/>
        <v>1831430.8</v>
      </c>
      <c r="N785">
        <f t="shared" si="109"/>
        <v>1103089.3699999999</v>
      </c>
      <c r="O785">
        <f t="shared" si="110"/>
        <v>728341.43000000017</v>
      </c>
      <c r="P785" s="6">
        <f t="shared" si="111"/>
        <v>0.39768984446477595</v>
      </c>
      <c r="Q785">
        <f t="shared" si="112"/>
        <v>23</v>
      </c>
      <c r="R785">
        <f t="shared" si="113"/>
        <v>2011</v>
      </c>
      <c r="S785" t="str">
        <f t="shared" si="114"/>
        <v>July</v>
      </c>
      <c r="T785">
        <f t="shared" si="115"/>
        <v>7</v>
      </c>
      <c r="U785" t="str">
        <f t="shared" si="116"/>
        <v>High Profit</v>
      </c>
    </row>
    <row r="786" spans="1:21" x14ac:dyDescent="0.35">
      <c r="A786" s="5" t="s">
        <v>37</v>
      </c>
      <c r="B786" s="5" t="s">
        <v>429</v>
      </c>
      <c r="C786" t="s">
        <v>39</v>
      </c>
      <c r="D786" t="s">
        <v>1010</v>
      </c>
      <c r="E786" t="s">
        <v>29</v>
      </c>
      <c r="F786" t="s">
        <v>66</v>
      </c>
      <c r="G786" s="3">
        <v>40302</v>
      </c>
      <c r="H786">
        <v>624295365</v>
      </c>
      <c r="I786" s="3">
        <v>40352</v>
      </c>
      <c r="J786">
        <v>1727</v>
      </c>
      <c r="K786">
        <v>9.33</v>
      </c>
      <c r="L786">
        <v>6.92</v>
      </c>
      <c r="M786">
        <f t="shared" si="108"/>
        <v>16112.91</v>
      </c>
      <c r="N786">
        <f t="shared" si="109"/>
        <v>11950.84</v>
      </c>
      <c r="O786">
        <f t="shared" si="110"/>
        <v>4162.07</v>
      </c>
      <c r="P786" s="6">
        <f t="shared" si="111"/>
        <v>0.25830653804930331</v>
      </c>
      <c r="Q786">
        <f t="shared" si="112"/>
        <v>50</v>
      </c>
      <c r="R786">
        <f t="shared" si="113"/>
        <v>2010</v>
      </c>
      <c r="S786" t="str">
        <f t="shared" si="114"/>
        <v>May</v>
      </c>
      <c r="T786">
        <f t="shared" si="115"/>
        <v>5</v>
      </c>
      <c r="U786" t="str">
        <f t="shared" si="116"/>
        <v>Low Profit</v>
      </c>
    </row>
    <row r="787" spans="1:21" x14ac:dyDescent="0.35">
      <c r="A787" s="5" t="s">
        <v>33</v>
      </c>
      <c r="B787" s="5" t="s">
        <v>247</v>
      </c>
      <c r="C787" t="s">
        <v>48</v>
      </c>
      <c r="D787" t="s">
        <v>1011</v>
      </c>
      <c r="E787" t="s">
        <v>23</v>
      </c>
      <c r="F787" t="s">
        <v>24</v>
      </c>
      <c r="G787" s="3">
        <v>41560</v>
      </c>
      <c r="H787">
        <v>769651782</v>
      </c>
      <c r="I787" s="3">
        <v>41581</v>
      </c>
      <c r="J787">
        <v>5921</v>
      </c>
      <c r="K787">
        <v>109.28</v>
      </c>
      <c r="L787">
        <v>35.840000000000003</v>
      </c>
      <c r="M787">
        <f t="shared" si="108"/>
        <v>647046.88</v>
      </c>
      <c r="N787">
        <f t="shared" si="109"/>
        <v>212208.64000000001</v>
      </c>
      <c r="O787">
        <f t="shared" si="110"/>
        <v>434838.24</v>
      </c>
      <c r="P787" s="6">
        <f t="shared" si="111"/>
        <v>0.67203513909224011</v>
      </c>
      <c r="Q787">
        <f t="shared" si="112"/>
        <v>21</v>
      </c>
      <c r="R787">
        <f t="shared" si="113"/>
        <v>2013</v>
      </c>
      <c r="S787" t="str">
        <f t="shared" si="114"/>
        <v>October</v>
      </c>
      <c r="T787">
        <f t="shared" si="115"/>
        <v>10</v>
      </c>
      <c r="U787" t="str">
        <f t="shared" si="116"/>
        <v>Medium Profit</v>
      </c>
    </row>
    <row r="788" spans="1:21" x14ac:dyDescent="0.35">
      <c r="A788" s="5" t="s">
        <v>19</v>
      </c>
      <c r="B788" s="5" t="s">
        <v>700</v>
      </c>
      <c r="C788" t="s">
        <v>27</v>
      </c>
      <c r="D788" t="s">
        <v>1012</v>
      </c>
      <c r="E788" t="s">
        <v>29</v>
      </c>
      <c r="F788" t="s">
        <v>32</v>
      </c>
      <c r="G788" s="3">
        <v>41847</v>
      </c>
      <c r="H788">
        <v>751929891</v>
      </c>
      <c r="I788" s="3">
        <v>41852</v>
      </c>
      <c r="J788">
        <v>1619</v>
      </c>
      <c r="K788">
        <v>154.06</v>
      </c>
      <c r="L788">
        <v>90.93</v>
      </c>
      <c r="M788">
        <f t="shared" si="108"/>
        <v>249423.14</v>
      </c>
      <c r="N788">
        <f t="shared" si="109"/>
        <v>147215.67000000001</v>
      </c>
      <c r="O788">
        <f t="shared" si="110"/>
        <v>102207.47</v>
      </c>
      <c r="P788" s="6">
        <f t="shared" si="111"/>
        <v>0.40977541217707386</v>
      </c>
      <c r="Q788">
        <f t="shared" si="112"/>
        <v>5</v>
      </c>
      <c r="R788">
        <f t="shared" si="113"/>
        <v>2014</v>
      </c>
      <c r="S788" t="str">
        <f t="shared" si="114"/>
        <v>July</v>
      </c>
      <c r="T788">
        <f t="shared" si="115"/>
        <v>7</v>
      </c>
      <c r="U788" t="str">
        <f t="shared" si="116"/>
        <v>Medium Profit</v>
      </c>
    </row>
    <row r="789" spans="1:21" x14ac:dyDescent="0.35">
      <c r="A789" s="5" t="s">
        <v>33</v>
      </c>
      <c r="B789" s="5" t="s">
        <v>64</v>
      </c>
      <c r="C789" t="s">
        <v>69</v>
      </c>
      <c r="D789" t="s">
        <v>1013</v>
      </c>
      <c r="E789" t="s">
        <v>29</v>
      </c>
      <c r="F789" t="s">
        <v>41</v>
      </c>
      <c r="G789" s="3">
        <v>40272</v>
      </c>
      <c r="H789">
        <v>989928519</v>
      </c>
      <c r="I789" s="3">
        <v>40279</v>
      </c>
      <c r="J789">
        <v>702</v>
      </c>
      <c r="K789">
        <v>651.21</v>
      </c>
      <c r="L789">
        <v>524.96</v>
      </c>
      <c r="M789">
        <f t="shared" si="108"/>
        <v>457149.42000000004</v>
      </c>
      <c r="N789">
        <f t="shared" si="109"/>
        <v>368521.92000000004</v>
      </c>
      <c r="O789">
        <f t="shared" si="110"/>
        <v>88627.5</v>
      </c>
      <c r="P789" s="6">
        <f t="shared" si="111"/>
        <v>0.19386987300563566</v>
      </c>
      <c r="Q789">
        <f t="shared" si="112"/>
        <v>7</v>
      </c>
      <c r="R789">
        <f t="shared" si="113"/>
        <v>2010</v>
      </c>
      <c r="S789" t="str">
        <f t="shared" si="114"/>
        <v>April</v>
      </c>
      <c r="T789">
        <f t="shared" si="115"/>
        <v>4</v>
      </c>
      <c r="U789" t="str">
        <f t="shared" si="116"/>
        <v>Low Profit</v>
      </c>
    </row>
    <row r="790" spans="1:21" x14ac:dyDescent="0.35">
      <c r="A790" s="5" t="s">
        <v>37</v>
      </c>
      <c r="B790" s="5" t="s">
        <v>520</v>
      </c>
      <c r="C790" t="s">
        <v>92</v>
      </c>
      <c r="D790" t="s">
        <v>1014</v>
      </c>
      <c r="E790" t="s">
        <v>23</v>
      </c>
      <c r="F790" t="s">
        <v>41</v>
      </c>
      <c r="G790" s="3">
        <v>41868</v>
      </c>
      <c r="H790">
        <v>622758996</v>
      </c>
      <c r="I790" s="3">
        <v>41913</v>
      </c>
      <c r="J790">
        <v>7081</v>
      </c>
      <c r="K790">
        <v>421.89</v>
      </c>
      <c r="L790">
        <v>364.69</v>
      </c>
      <c r="M790">
        <f t="shared" si="108"/>
        <v>2987403.09</v>
      </c>
      <c r="N790">
        <f t="shared" si="109"/>
        <v>2582369.89</v>
      </c>
      <c r="O790">
        <f t="shared" si="110"/>
        <v>405033.19999999972</v>
      </c>
      <c r="P790" s="6">
        <f t="shared" si="111"/>
        <v>0.13558036455000111</v>
      </c>
      <c r="Q790">
        <f t="shared" si="112"/>
        <v>45</v>
      </c>
      <c r="R790">
        <f t="shared" si="113"/>
        <v>2014</v>
      </c>
      <c r="S790" t="str">
        <f t="shared" si="114"/>
        <v>August</v>
      </c>
      <c r="T790">
        <f t="shared" si="115"/>
        <v>8</v>
      </c>
      <c r="U790" t="str">
        <f t="shared" si="116"/>
        <v>Medium Profit</v>
      </c>
    </row>
    <row r="791" spans="1:21" x14ac:dyDescent="0.35">
      <c r="A791" s="5" t="s">
        <v>37</v>
      </c>
      <c r="B791" s="5" t="s">
        <v>133</v>
      </c>
      <c r="C791" t="s">
        <v>30</v>
      </c>
      <c r="D791" t="s">
        <v>1015</v>
      </c>
      <c r="E791" t="s">
        <v>29</v>
      </c>
      <c r="F791" t="s">
        <v>41</v>
      </c>
      <c r="G791" s="3">
        <v>42373</v>
      </c>
      <c r="H791">
        <v>659845149</v>
      </c>
      <c r="I791" s="3">
        <v>42398</v>
      </c>
      <c r="J791">
        <v>1698</v>
      </c>
      <c r="K791">
        <v>255.28</v>
      </c>
      <c r="L791">
        <v>159.41999999999999</v>
      </c>
      <c r="M791">
        <f t="shared" si="108"/>
        <v>433465.44</v>
      </c>
      <c r="N791">
        <f t="shared" si="109"/>
        <v>270695.15999999997</v>
      </c>
      <c r="O791">
        <f t="shared" si="110"/>
        <v>162770.28000000003</v>
      </c>
      <c r="P791" s="6">
        <f t="shared" si="111"/>
        <v>0.37550924475086184</v>
      </c>
      <c r="Q791">
        <f t="shared" si="112"/>
        <v>25</v>
      </c>
      <c r="R791">
        <f t="shared" si="113"/>
        <v>2016</v>
      </c>
      <c r="S791" t="str">
        <f t="shared" si="114"/>
        <v>January</v>
      </c>
      <c r="T791">
        <f t="shared" si="115"/>
        <v>1</v>
      </c>
      <c r="U791" t="str">
        <f t="shared" si="116"/>
        <v>Medium Profit</v>
      </c>
    </row>
    <row r="792" spans="1:21" x14ac:dyDescent="0.35">
      <c r="A792" s="5" t="s">
        <v>37</v>
      </c>
      <c r="B792" s="5" t="s">
        <v>1016</v>
      </c>
      <c r="C792" t="s">
        <v>30</v>
      </c>
      <c r="D792" t="s">
        <v>1017</v>
      </c>
      <c r="E792" t="s">
        <v>23</v>
      </c>
      <c r="F792" t="s">
        <v>41</v>
      </c>
      <c r="G792" s="3">
        <v>40680</v>
      </c>
      <c r="H792">
        <v>830923306</v>
      </c>
      <c r="I792" s="3">
        <v>40699</v>
      </c>
      <c r="J792">
        <v>7526</v>
      </c>
      <c r="K792">
        <v>255.28</v>
      </c>
      <c r="L792">
        <v>159.41999999999999</v>
      </c>
      <c r="M792">
        <f t="shared" si="108"/>
        <v>1921237.28</v>
      </c>
      <c r="N792">
        <f t="shared" si="109"/>
        <v>1199794.92</v>
      </c>
      <c r="O792">
        <f t="shared" si="110"/>
        <v>721442.3600000001</v>
      </c>
      <c r="P792" s="6">
        <f t="shared" si="111"/>
        <v>0.37550924475086184</v>
      </c>
      <c r="Q792">
        <f t="shared" si="112"/>
        <v>19</v>
      </c>
      <c r="R792">
        <f t="shared" si="113"/>
        <v>2011</v>
      </c>
      <c r="S792" t="str">
        <f t="shared" si="114"/>
        <v>May</v>
      </c>
      <c r="T792">
        <f t="shared" si="115"/>
        <v>5</v>
      </c>
      <c r="U792" t="str">
        <f t="shared" si="116"/>
        <v>High Profit</v>
      </c>
    </row>
    <row r="793" spans="1:21" x14ac:dyDescent="0.35">
      <c r="A793" s="5" t="s">
        <v>33</v>
      </c>
      <c r="B793" s="5" t="s">
        <v>540</v>
      </c>
      <c r="C793" t="s">
        <v>72</v>
      </c>
      <c r="D793" t="s">
        <v>1018</v>
      </c>
      <c r="E793" t="s">
        <v>23</v>
      </c>
      <c r="F793" t="s">
        <v>66</v>
      </c>
      <c r="G793" s="3">
        <v>40221</v>
      </c>
      <c r="H793">
        <v>936042296</v>
      </c>
      <c r="I793" s="3">
        <v>40254</v>
      </c>
      <c r="J793">
        <v>4571</v>
      </c>
      <c r="K793">
        <v>47.45</v>
      </c>
      <c r="L793">
        <v>31.79</v>
      </c>
      <c r="M793">
        <f t="shared" si="108"/>
        <v>216893.95</v>
      </c>
      <c r="N793">
        <f t="shared" si="109"/>
        <v>145312.09</v>
      </c>
      <c r="O793">
        <f t="shared" si="110"/>
        <v>71581.860000000015</v>
      </c>
      <c r="P793" s="6">
        <f t="shared" si="111"/>
        <v>0.33003161222339311</v>
      </c>
      <c r="Q793">
        <f t="shared" si="112"/>
        <v>33</v>
      </c>
      <c r="R793">
        <f t="shared" si="113"/>
        <v>2010</v>
      </c>
      <c r="S793" t="str">
        <f t="shared" si="114"/>
        <v>February</v>
      </c>
      <c r="T793">
        <f t="shared" si="115"/>
        <v>2</v>
      </c>
      <c r="U793" t="str">
        <f t="shared" si="116"/>
        <v>Low Profit</v>
      </c>
    </row>
    <row r="794" spans="1:21" x14ac:dyDescent="0.35">
      <c r="A794" s="5" t="s">
        <v>37</v>
      </c>
      <c r="B794" s="5" t="s">
        <v>260</v>
      </c>
      <c r="C794" t="s">
        <v>60</v>
      </c>
      <c r="D794" t="s">
        <v>1019</v>
      </c>
      <c r="E794" t="s">
        <v>29</v>
      </c>
      <c r="F794" t="s">
        <v>66</v>
      </c>
      <c r="G794" s="3">
        <v>42052</v>
      </c>
      <c r="H794">
        <v>395563447</v>
      </c>
      <c r="I794" s="3">
        <v>42093</v>
      </c>
      <c r="J794">
        <v>4869</v>
      </c>
      <c r="K794">
        <v>668.27</v>
      </c>
      <c r="L794">
        <v>502.54</v>
      </c>
      <c r="M794">
        <f t="shared" si="108"/>
        <v>3253806.63</v>
      </c>
      <c r="N794">
        <f t="shared" si="109"/>
        <v>2446867.2600000002</v>
      </c>
      <c r="O794">
        <f t="shared" si="110"/>
        <v>806939.36999999965</v>
      </c>
      <c r="P794" s="6">
        <f t="shared" si="111"/>
        <v>0.24799856345489088</v>
      </c>
      <c r="Q794">
        <f t="shared" si="112"/>
        <v>41</v>
      </c>
      <c r="R794">
        <f t="shared" si="113"/>
        <v>2015</v>
      </c>
      <c r="S794" t="str">
        <f t="shared" si="114"/>
        <v>February</v>
      </c>
      <c r="T794">
        <f t="shared" si="115"/>
        <v>2</v>
      </c>
      <c r="U794" t="str">
        <f t="shared" si="116"/>
        <v>High Profit</v>
      </c>
    </row>
    <row r="795" spans="1:21" x14ac:dyDescent="0.35">
      <c r="A795" s="5" t="s">
        <v>37</v>
      </c>
      <c r="B795" s="5" t="s">
        <v>411</v>
      </c>
      <c r="C795" t="s">
        <v>92</v>
      </c>
      <c r="D795" t="s">
        <v>1020</v>
      </c>
      <c r="E795" t="s">
        <v>23</v>
      </c>
      <c r="F795" t="s">
        <v>24</v>
      </c>
      <c r="G795" s="3">
        <v>40701</v>
      </c>
      <c r="H795">
        <v>500160586</v>
      </c>
      <c r="I795" s="3">
        <v>40701</v>
      </c>
      <c r="J795">
        <v>7487</v>
      </c>
      <c r="K795">
        <v>421.89</v>
      </c>
      <c r="L795">
        <v>364.69</v>
      </c>
      <c r="M795">
        <f t="shared" si="108"/>
        <v>3158690.4299999997</v>
      </c>
      <c r="N795">
        <f t="shared" si="109"/>
        <v>2730434.03</v>
      </c>
      <c r="O795">
        <f t="shared" si="110"/>
        <v>428256.39999999991</v>
      </c>
      <c r="P795" s="6">
        <f t="shared" si="111"/>
        <v>0.13558036455000116</v>
      </c>
      <c r="Q795">
        <f t="shared" si="112"/>
        <v>0</v>
      </c>
      <c r="R795">
        <f t="shared" si="113"/>
        <v>2011</v>
      </c>
      <c r="S795" t="str">
        <f t="shared" si="114"/>
        <v>June</v>
      </c>
      <c r="T795">
        <f t="shared" si="115"/>
        <v>6</v>
      </c>
      <c r="U795" t="str">
        <f t="shared" si="116"/>
        <v>Medium Profit</v>
      </c>
    </row>
    <row r="796" spans="1:21" x14ac:dyDescent="0.35">
      <c r="A796" s="5" t="s">
        <v>37</v>
      </c>
      <c r="B796" s="5" t="s">
        <v>1016</v>
      </c>
      <c r="C796" t="s">
        <v>39</v>
      </c>
      <c r="D796" t="s">
        <v>1021</v>
      </c>
      <c r="E796" t="s">
        <v>29</v>
      </c>
      <c r="F796" t="s">
        <v>66</v>
      </c>
      <c r="G796" s="3">
        <v>42150</v>
      </c>
      <c r="H796">
        <v>360820043</v>
      </c>
      <c r="I796" s="3">
        <v>42187</v>
      </c>
      <c r="J796">
        <v>3524</v>
      </c>
      <c r="K796">
        <v>9.33</v>
      </c>
      <c r="L796">
        <v>6.92</v>
      </c>
      <c r="M796">
        <f t="shared" si="108"/>
        <v>32878.92</v>
      </c>
      <c r="N796">
        <f t="shared" si="109"/>
        <v>24386.079999999998</v>
      </c>
      <c r="O796">
        <f t="shared" si="110"/>
        <v>8492.84</v>
      </c>
      <c r="P796" s="6">
        <f t="shared" si="111"/>
        <v>0.25830653804930331</v>
      </c>
      <c r="Q796">
        <f t="shared" si="112"/>
        <v>37</v>
      </c>
      <c r="R796">
        <f t="shared" si="113"/>
        <v>2015</v>
      </c>
      <c r="S796" t="str">
        <f t="shared" si="114"/>
        <v>May</v>
      </c>
      <c r="T796">
        <f t="shared" si="115"/>
        <v>5</v>
      </c>
      <c r="U796" t="str">
        <f t="shared" si="116"/>
        <v>Low Profit</v>
      </c>
    </row>
    <row r="797" spans="1:21" x14ac:dyDescent="0.35">
      <c r="A797" s="5" t="s">
        <v>42</v>
      </c>
      <c r="B797" s="5" t="s">
        <v>324</v>
      </c>
      <c r="C797" t="s">
        <v>58</v>
      </c>
      <c r="D797" t="s">
        <v>1022</v>
      </c>
      <c r="E797" t="s">
        <v>29</v>
      </c>
      <c r="F797" t="s">
        <v>32</v>
      </c>
      <c r="G797" s="3">
        <v>40322</v>
      </c>
      <c r="H797">
        <v>958840644</v>
      </c>
      <c r="I797" s="3">
        <v>40331</v>
      </c>
      <c r="J797">
        <v>1109</v>
      </c>
      <c r="K797">
        <v>152.58000000000001</v>
      </c>
      <c r="L797">
        <v>97.44</v>
      </c>
      <c r="M797">
        <f t="shared" si="108"/>
        <v>169211.22</v>
      </c>
      <c r="N797">
        <f t="shared" si="109"/>
        <v>108060.95999999999</v>
      </c>
      <c r="O797">
        <f t="shared" si="110"/>
        <v>61150.260000000009</v>
      </c>
      <c r="P797" s="6">
        <f t="shared" si="111"/>
        <v>0.36138419189933157</v>
      </c>
      <c r="Q797">
        <f t="shared" si="112"/>
        <v>9</v>
      </c>
      <c r="R797">
        <f t="shared" si="113"/>
        <v>2010</v>
      </c>
      <c r="S797" t="str">
        <f t="shared" si="114"/>
        <v>May</v>
      </c>
      <c r="T797">
        <f t="shared" si="115"/>
        <v>5</v>
      </c>
      <c r="U797" t="str">
        <f t="shared" si="116"/>
        <v>Low Profit</v>
      </c>
    </row>
    <row r="798" spans="1:21" x14ac:dyDescent="0.35">
      <c r="A798" s="5" t="s">
        <v>19</v>
      </c>
      <c r="B798" s="5" t="s">
        <v>310</v>
      </c>
      <c r="C798" t="s">
        <v>30</v>
      </c>
      <c r="D798" t="s">
        <v>1023</v>
      </c>
      <c r="E798" t="s">
        <v>29</v>
      </c>
      <c r="F798" t="s">
        <v>24</v>
      </c>
      <c r="G798" s="3">
        <v>40595</v>
      </c>
      <c r="H798">
        <v>195833718</v>
      </c>
      <c r="I798" s="3">
        <v>40640</v>
      </c>
      <c r="J798">
        <v>404</v>
      </c>
      <c r="K798">
        <v>255.28</v>
      </c>
      <c r="L798">
        <v>159.41999999999999</v>
      </c>
      <c r="M798">
        <f t="shared" si="108"/>
        <v>103133.12</v>
      </c>
      <c r="N798">
        <f t="shared" si="109"/>
        <v>64405.679999999993</v>
      </c>
      <c r="O798">
        <f t="shared" si="110"/>
        <v>38727.440000000002</v>
      </c>
      <c r="P798" s="6">
        <f t="shared" si="111"/>
        <v>0.37550924475086184</v>
      </c>
      <c r="Q798">
        <f t="shared" si="112"/>
        <v>45</v>
      </c>
      <c r="R798">
        <f t="shared" si="113"/>
        <v>2011</v>
      </c>
      <c r="S798" t="str">
        <f t="shared" si="114"/>
        <v>February</v>
      </c>
      <c r="T798">
        <f t="shared" si="115"/>
        <v>2</v>
      </c>
      <c r="U798" t="str">
        <f t="shared" si="116"/>
        <v>Low Profit</v>
      </c>
    </row>
    <row r="799" spans="1:21" x14ac:dyDescent="0.35">
      <c r="A799" s="5" t="s">
        <v>37</v>
      </c>
      <c r="B799" s="5" t="s">
        <v>318</v>
      </c>
      <c r="C799" t="s">
        <v>83</v>
      </c>
      <c r="D799" t="s">
        <v>1024</v>
      </c>
      <c r="E799" t="s">
        <v>23</v>
      </c>
      <c r="F799" t="s">
        <v>24</v>
      </c>
      <c r="G799" s="3">
        <v>41818</v>
      </c>
      <c r="H799">
        <v>543723094</v>
      </c>
      <c r="I799" s="3">
        <v>41822</v>
      </c>
      <c r="J799">
        <v>8601</v>
      </c>
      <c r="K799">
        <v>81.73</v>
      </c>
      <c r="L799">
        <v>56.67</v>
      </c>
      <c r="M799">
        <f t="shared" si="108"/>
        <v>702959.73</v>
      </c>
      <c r="N799">
        <f t="shared" si="109"/>
        <v>487418.67000000004</v>
      </c>
      <c r="O799">
        <f t="shared" si="110"/>
        <v>215541.05999999994</v>
      </c>
      <c r="P799" s="6">
        <f t="shared" si="111"/>
        <v>0.30661935641747207</v>
      </c>
      <c r="Q799">
        <f t="shared" si="112"/>
        <v>4</v>
      </c>
      <c r="R799">
        <f t="shared" si="113"/>
        <v>2014</v>
      </c>
      <c r="S799" t="str">
        <f t="shared" si="114"/>
        <v>June</v>
      </c>
      <c r="T799">
        <f t="shared" si="115"/>
        <v>6</v>
      </c>
      <c r="U799" t="str">
        <f t="shared" si="116"/>
        <v>Medium Profit</v>
      </c>
    </row>
    <row r="800" spans="1:21" x14ac:dyDescent="0.35">
      <c r="A800" s="5" t="s">
        <v>50</v>
      </c>
      <c r="B800" s="5" t="s">
        <v>707</v>
      </c>
      <c r="C800" t="s">
        <v>21</v>
      </c>
      <c r="D800" t="s">
        <v>1025</v>
      </c>
      <c r="E800" t="s">
        <v>23</v>
      </c>
      <c r="F800" t="s">
        <v>41</v>
      </c>
      <c r="G800" s="3">
        <v>40466</v>
      </c>
      <c r="H800">
        <v>494745099</v>
      </c>
      <c r="I800" s="3">
        <v>40481</v>
      </c>
      <c r="J800">
        <v>4924</v>
      </c>
      <c r="K800">
        <v>437.2</v>
      </c>
      <c r="L800">
        <v>263.33</v>
      </c>
      <c r="M800">
        <f t="shared" si="108"/>
        <v>2152772.7999999998</v>
      </c>
      <c r="N800">
        <f t="shared" si="109"/>
        <v>1296636.92</v>
      </c>
      <c r="O800">
        <f t="shared" si="110"/>
        <v>856135.87999999989</v>
      </c>
      <c r="P800" s="6">
        <f t="shared" si="111"/>
        <v>0.39768984446477584</v>
      </c>
      <c r="Q800">
        <f t="shared" si="112"/>
        <v>15</v>
      </c>
      <c r="R800">
        <f t="shared" si="113"/>
        <v>2010</v>
      </c>
      <c r="S800" t="str">
        <f t="shared" si="114"/>
        <v>October</v>
      </c>
      <c r="T800">
        <f t="shared" si="115"/>
        <v>10</v>
      </c>
      <c r="U800" t="str">
        <f t="shared" si="116"/>
        <v>High Profit</v>
      </c>
    </row>
    <row r="801" spans="1:21" x14ac:dyDescent="0.35">
      <c r="A801" s="5" t="s">
        <v>19</v>
      </c>
      <c r="B801" s="5" t="s">
        <v>510</v>
      </c>
      <c r="C801" t="s">
        <v>27</v>
      </c>
      <c r="D801" t="s">
        <v>1026</v>
      </c>
      <c r="E801" t="s">
        <v>29</v>
      </c>
      <c r="F801" t="s">
        <v>41</v>
      </c>
      <c r="G801" s="3">
        <v>40316</v>
      </c>
      <c r="H801">
        <v>411448562</v>
      </c>
      <c r="I801" s="3">
        <v>40359</v>
      </c>
      <c r="J801">
        <v>5628</v>
      </c>
      <c r="K801">
        <v>154.06</v>
      </c>
      <c r="L801">
        <v>90.93</v>
      </c>
      <c r="M801">
        <f t="shared" si="108"/>
        <v>867049.68</v>
      </c>
      <c r="N801">
        <f t="shared" si="109"/>
        <v>511754.04000000004</v>
      </c>
      <c r="O801">
        <f t="shared" si="110"/>
        <v>355295.64</v>
      </c>
      <c r="P801" s="6">
        <f t="shared" si="111"/>
        <v>0.40977541217707386</v>
      </c>
      <c r="Q801">
        <f t="shared" si="112"/>
        <v>43</v>
      </c>
      <c r="R801">
        <f t="shared" si="113"/>
        <v>2010</v>
      </c>
      <c r="S801" t="str">
        <f t="shared" si="114"/>
        <v>May</v>
      </c>
      <c r="T801">
        <f t="shared" si="115"/>
        <v>5</v>
      </c>
      <c r="U801" t="str">
        <f t="shared" si="116"/>
        <v>Medium Profit</v>
      </c>
    </row>
    <row r="802" spans="1:21" x14ac:dyDescent="0.35">
      <c r="A802" s="5" t="s">
        <v>42</v>
      </c>
      <c r="B802" s="5" t="s">
        <v>267</v>
      </c>
      <c r="C802" t="s">
        <v>83</v>
      </c>
      <c r="D802" t="s">
        <v>1027</v>
      </c>
      <c r="E802" t="s">
        <v>23</v>
      </c>
      <c r="F802" t="s">
        <v>41</v>
      </c>
      <c r="G802" s="3">
        <v>42768</v>
      </c>
      <c r="H802">
        <v>276694810</v>
      </c>
      <c r="I802" s="3">
        <v>42782</v>
      </c>
      <c r="J802">
        <v>8998</v>
      </c>
      <c r="K802">
        <v>81.73</v>
      </c>
      <c r="L802">
        <v>56.67</v>
      </c>
      <c r="M802">
        <f t="shared" si="108"/>
        <v>735406.54</v>
      </c>
      <c r="N802">
        <f t="shared" si="109"/>
        <v>509916.66000000003</v>
      </c>
      <c r="O802">
        <f t="shared" si="110"/>
        <v>225489.88</v>
      </c>
      <c r="P802" s="6">
        <f t="shared" si="111"/>
        <v>0.30661935641747218</v>
      </c>
      <c r="Q802">
        <f t="shared" si="112"/>
        <v>14</v>
      </c>
      <c r="R802">
        <f t="shared" si="113"/>
        <v>2017</v>
      </c>
      <c r="S802" t="str">
        <f t="shared" si="114"/>
        <v>February</v>
      </c>
      <c r="T802">
        <f t="shared" si="115"/>
        <v>2</v>
      </c>
      <c r="U802" t="str">
        <f t="shared" si="116"/>
        <v>Medium Profit</v>
      </c>
    </row>
    <row r="803" spans="1:21" x14ac:dyDescent="0.35">
      <c r="A803" s="5" t="s">
        <v>33</v>
      </c>
      <c r="B803" s="5" t="s">
        <v>584</v>
      </c>
      <c r="C803" t="s">
        <v>69</v>
      </c>
      <c r="D803" t="s">
        <v>1028</v>
      </c>
      <c r="E803" t="s">
        <v>23</v>
      </c>
      <c r="F803" t="s">
        <v>24</v>
      </c>
      <c r="G803" s="3">
        <v>42698</v>
      </c>
      <c r="H803">
        <v>143657672</v>
      </c>
      <c r="I803" s="3">
        <v>42743</v>
      </c>
      <c r="J803">
        <v>352</v>
      </c>
      <c r="K803">
        <v>651.21</v>
      </c>
      <c r="L803">
        <v>524.96</v>
      </c>
      <c r="M803">
        <f t="shared" si="108"/>
        <v>229225.92</v>
      </c>
      <c r="N803">
        <f t="shared" si="109"/>
        <v>184785.92000000001</v>
      </c>
      <c r="O803">
        <f t="shared" si="110"/>
        <v>44440</v>
      </c>
      <c r="P803" s="6">
        <f t="shared" si="111"/>
        <v>0.19386987300563566</v>
      </c>
      <c r="Q803">
        <f t="shared" si="112"/>
        <v>45</v>
      </c>
      <c r="R803">
        <f t="shared" si="113"/>
        <v>2016</v>
      </c>
      <c r="S803" t="str">
        <f t="shared" si="114"/>
        <v>November</v>
      </c>
      <c r="T803">
        <f t="shared" si="115"/>
        <v>11</v>
      </c>
      <c r="U803" t="str">
        <f t="shared" si="116"/>
        <v>Low Profit</v>
      </c>
    </row>
    <row r="804" spans="1:21" x14ac:dyDescent="0.35">
      <c r="A804" s="5" t="s">
        <v>42</v>
      </c>
      <c r="B804" s="5" t="s">
        <v>257</v>
      </c>
      <c r="C804" t="s">
        <v>30</v>
      </c>
      <c r="D804" t="s">
        <v>1029</v>
      </c>
      <c r="E804" t="s">
        <v>29</v>
      </c>
      <c r="F804" t="s">
        <v>66</v>
      </c>
      <c r="G804" s="3">
        <v>40900</v>
      </c>
      <c r="H804">
        <v>585823476</v>
      </c>
      <c r="I804" s="3">
        <v>40914</v>
      </c>
      <c r="J804">
        <v>7040</v>
      </c>
      <c r="K804">
        <v>255.28</v>
      </c>
      <c r="L804">
        <v>159.41999999999999</v>
      </c>
      <c r="M804">
        <f t="shared" si="108"/>
        <v>1797171.2</v>
      </c>
      <c r="N804">
        <f t="shared" si="109"/>
        <v>1122316.7999999998</v>
      </c>
      <c r="O804">
        <f t="shared" si="110"/>
        <v>674854.40000000014</v>
      </c>
      <c r="P804" s="6">
        <f t="shared" si="111"/>
        <v>0.37550924475086189</v>
      </c>
      <c r="Q804">
        <f t="shared" si="112"/>
        <v>14</v>
      </c>
      <c r="R804">
        <f t="shared" si="113"/>
        <v>2011</v>
      </c>
      <c r="S804" t="str">
        <f t="shared" si="114"/>
        <v>December</v>
      </c>
      <c r="T804">
        <f t="shared" si="115"/>
        <v>12</v>
      </c>
      <c r="U804" t="str">
        <f t="shared" si="116"/>
        <v>High Profit</v>
      </c>
    </row>
    <row r="805" spans="1:21" x14ac:dyDescent="0.35">
      <c r="A805" s="5" t="s">
        <v>19</v>
      </c>
      <c r="B805" s="5" t="s">
        <v>210</v>
      </c>
      <c r="C805" t="s">
        <v>48</v>
      </c>
      <c r="D805" t="s">
        <v>1030</v>
      </c>
      <c r="E805" t="s">
        <v>29</v>
      </c>
      <c r="F805" t="s">
        <v>32</v>
      </c>
      <c r="G805" s="3">
        <v>42709</v>
      </c>
      <c r="H805">
        <v>446991050</v>
      </c>
      <c r="I805" s="3">
        <v>42751</v>
      </c>
      <c r="J805">
        <v>3440</v>
      </c>
      <c r="K805">
        <v>109.28</v>
      </c>
      <c r="L805">
        <v>35.840000000000003</v>
      </c>
      <c r="M805">
        <f t="shared" si="108"/>
        <v>375923.20000000001</v>
      </c>
      <c r="N805">
        <f t="shared" si="109"/>
        <v>123289.60000000001</v>
      </c>
      <c r="O805">
        <f t="shared" si="110"/>
        <v>252633.60000000001</v>
      </c>
      <c r="P805" s="6">
        <f t="shared" si="111"/>
        <v>0.67203513909224011</v>
      </c>
      <c r="Q805">
        <f t="shared" si="112"/>
        <v>42</v>
      </c>
      <c r="R805">
        <f t="shared" si="113"/>
        <v>2016</v>
      </c>
      <c r="S805" t="str">
        <f t="shared" si="114"/>
        <v>December</v>
      </c>
      <c r="T805">
        <f t="shared" si="115"/>
        <v>12</v>
      </c>
      <c r="U805" t="str">
        <f t="shared" si="116"/>
        <v>Medium Profit</v>
      </c>
    </row>
    <row r="806" spans="1:21" x14ac:dyDescent="0.35">
      <c r="A806" s="5" t="s">
        <v>53</v>
      </c>
      <c r="B806" s="5" t="s">
        <v>345</v>
      </c>
      <c r="C806" t="s">
        <v>48</v>
      </c>
      <c r="D806" t="s">
        <v>1031</v>
      </c>
      <c r="E806" t="s">
        <v>23</v>
      </c>
      <c r="F806" t="s">
        <v>24</v>
      </c>
      <c r="G806" s="3">
        <v>42782</v>
      </c>
      <c r="H806">
        <v>891271722</v>
      </c>
      <c r="I806" s="3">
        <v>42788</v>
      </c>
      <c r="J806">
        <v>5963</v>
      </c>
      <c r="K806">
        <v>109.28</v>
      </c>
      <c r="L806">
        <v>35.840000000000003</v>
      </c>
      <c r="M806">
        <f t="shared" si="108"/>
        <v>651636.64</v>
      </c>
      <c r="N806">
        <f t="shared" si="109"/>
        <v>213713.92000000001</v>
      </c>
      <c r="O806">
        <f t="shared" si="110"/>
        <v>437922.72</v>
      </c>
      <c r="P806" s="6">
        <f t="shared" si="111"/>
        <v>0.67203513909224011</v>
      </c>
      <c r="Q806">
        <f t="shared" si="112"/>
        <v>6</v>
      </c>
      <c r="R806">
        <f t="shared" si="113"/>
        <v>2017</v>
      </c>
      <c r="S806" t="str">
        <f t="shared" si="114"/>
        <v>February</v>
      </c>
      <c r="T806">
        <f t="shared" si="115"/>
        <v>2</v>
      </c>
      <c r="U806" t="str">
        <f t="shared" si="116"/>
        <v>Medium Profit</v>
      </c>
    </row>
    <row r="807" spans="1:21" x14ac:dyDescent="0.35">
      <c r="A807" s="5" t="s">
        <v>19</v>
      </c>
      <c r="B807" s="5" t="s">
        <v>96</v>
      </c>
      <c r="C807" t="s">
        <v>21</v>
      </c>
      <c r="D807" t="s">
        <v>1032</v>
      </c>
      <c r="E807" t="s">
        <v>29</v>
      </c>
      <c r="F807" t="s">
        <v>32</v>
      </c>
      <c r="G807" s="3">
        <v>40316</v>
      </c>
      <c r="H807">
        <v>453089320</v>
      </c>
      <c r="I807" s="3">
        <v>40345</v>
      </c>
      <c r="J807">
        <v>8053</v>
      </c>
      <c r="K807">
        <v>437.2</v>
      </c>
      <c r="L807">
        <v>263.33</v>
      </c>
      <c r="M807">
        <f t="shared" si="108"/>
        <v>3520771.6</v>
      </c>
      <c r="N807">
        <f t="shared" si="109"/>
        <v>2120596.4899999998</v>
      </c>
      <c r="O807">
        <f t="shared" si="110"/>
        <v>1400175.1100000003</v>
      </c>
      <c r="P807" s="6">
        <f t="shared" si="111"/>
        <v>0.39768984446477595</v>
      </c>
      <c r="Q807">
        <f t="shared" si="112"/>
        <v>29</v>
      </c>
      <c r="R807">
        <f t="shared" si="113"/>
        <v>2010</v>
      </c>
      <c r="S807" t="str">
        <f t="shared" si="114"/>
        <v>May</v>
      </c>
      <c r="T807">
        <f t="shared" si="115"/>
        <v>5</v>
      </c>
      <c r="U807" t="str">
        <f t="shared" si="116"/>
        <v>High Profit</v>
      </c>
    </row>
    <row r="808" spans="1:21" x14ac:dyDescent="0.35">
      <c r="A808" s="5" t="s">
        <v>42</v>
      </c>
      <c r="B808" s="5" t="s">
        <v>281</v>
      </c>
      <c r="C808" t="s">
        <v>30</v>
      </c>
      <c r="D808" t="s">
        <v>1033</v>
      </c>
      <c r="E808" t="s">
        <v>23</v>
      </c>
      <c r="F808" t="s">
        <v>66</v>
      </c>
      <c r="G808" s="3">
        <v>40428</v>
      </c>
      <c r="H808">
        <v>887180173</v>
      </c>
      <c r="I808" s="3">
        <v>40469</v>
      </c>
      <c r="J808">
        <v>5183</v>
      </c>
      <c r="K808">
        <v>255.28</v>
      </c>
      <c r="L808">
        <v>159.41999999999999</v>
      </c>
      <c r="M808">
        <f t="shared" si="108"/>
        <v>1323116.24</v>
      </c>
      <c r="N808">
        <f t="shared" si="109"/>
        <v>826273.86</v>
      </c>
      <c r="O808">
        <f t="shared" si="110"/>
        <v>496842.38</v>
      </c>
      <c r="P808" s="6">
        <f t="shared" si="111"/>
        <v>0.37550924475086178</v>
      </c>
      <c r="Q808">
        <f t="shared" si="112"/>
        <v>41</v>
      </c>
      <c r="R808">
        <f t="shared" si="113"/>
        <v>2010</v>
      </c>
      <c r="S808" t="str">
        <f t="shared" si="114"/>
        <v>September</v>
      </c>
      <c r="T808">
        <f t="shared" si="115"/>
        <v>9</v>
      </c>
      <c r="U808" t="str">
        <f t="shared" si="116"/>
        <v>Medium Profit</v>
      </c>
    </row>
    <row r="809" spans="1:21" x14ac:dyDescent="0.35">
      <c r="A809" s="5" t="s">
        <v>42</v>
      </c>
      <c r="B809" s="5" t="s">
        <v>111</v>
      </c>
      <c r="C809" t="s">
        <v>21</v>
      </c>
      <c r="D809" t="s">
        <v>1034</v>
      </c>
      <c r="E809" t="s">
        <v>29</v>
      </c>
      <c r="F809" t="s">
        <v>66</v>
      </c>
      <c r="G809" s="3">
        <v>41710</v>
      </c>
      <c r="H809">
        <v>418593108</v>
      </c>
      <c r="I809" s="3">
        <v>41723</v>
      </c>
      <c r="J809">
        <v>9858</v>
      </c>
      <c r="K809">
        <v>437.2</v>
      </c>
      <c r="L809">
        <v>263.33</v>
      </c>
      <c r="M809">
        <f t="shared" si="108"/>
        <v>4309917.5999999996</v>
      </c>
      <c r="N809">
        <f t="shared" si="109"/>
        <v>2595907.1399999997</v>
      </c>
      <c r="O809">
        <f t="shared" si="110"/>
        <v>1714010.46</v>
      </c>
      <c r="P809" s="6">
        <f t="shared" si="111"/>
        <v>0.3976898444647759</v>
      </c>
      <c r="Q809">
        <f t="shared" si="112"/>
        <v>13</v>
      </c>
      <c r="R809">
        <f t="shared" si="113"/>
        <v>2014</v>
      </c>
      <c r="S809" t="str">
        <f t="shared" si="114"/>
        <v>March</v>
      </c>
      <c r="T809">
        <f t="shared" si="115"/>
        <v>3</v>
      </c>
      <c r="U809" t="str">
        <f t="shared" si="116"/>
        <v>High Profit</v>
      </c>
    </row>
    <row r="810" spans="1:21" x14ac:dyDescent="0.35">
      <c r="A810" s="5" t="s">
        <v>33</v>
      </c>
      <c r="B810" s="5" t="s">
        <v>497</v>
      </c>
      <c r="C810" t="s">
        <v>83</v>
      </c>
      <c r="D810" t="s">
        <v>1035</v>
      </c>
      <c r="E810" t="s">
        <v>29</v>
      </c>
      <c r="F810" t="s">
        <v>24</v>
      </c>
      <c r="G810" s="3">
        <v>40375</v>
      </c>
      <c r="H810">
        <v>492689454</v>
      </c>
      <c r="I810" s="3">
        <v>40406</v>
      </c>
      <c r="J810">
        <v>6613</v>
      </c>
      <c r="K810">
        <v>81.73</v>
      </c>
      <c r="L810">
        <v>56.67</v>
      </c>
      <c r="M810">
        <f t="shared" si="108"/>
        <v>540480.49</v>
      </c>
      <c r="N810">
        <f t="shared" si="109"/>
        <v>374758.71</v>
      </c>
      <c r="O810">
        <f t="shared" si="110"/>
        <v>165721.77999999997</v>
      </c>
      <c r="P810" s="6">
        <f t="shared" si="111"/>
        <v>0.30661935641747212</v>
      </c>
      <c r="Q810">
        <f t="shared" si="112"/>
        <v>31</v>
      </c>
      <c r="R810">
        <f t="shared" si="113"/>
        <v>2010</v>
      </c>
      <c r="S810" t="str">
        <f t="shared" si="114"/>
        <v>July</v>
      </c>
      <c r="T810">
        <f t="shared" si="115"/>
        <v>7</v>
      </c>
      <c r="U810" t="str">
        <f t="shared" si="116"/>
        <v>Medium Profit</v>
      </c>
    </row>
    <row r="811" spans="1:21" x14ac:dyDescent="0.35">
      <c r="A811" s="5" t="s">
        <v>42</v>
      </c>
      <c r="B811" s="5" t="s">
        <v>759</v>
      </c>
      <c r="C811" t="s">
        <v>21</v>
      </c>
      <c r="D811" t="s">
        <v>1036</v>
      </c>
      <c r="E811" t="s">
        <v>29</v>
      </c>
      <c r="F811" t="s">
        <v>24</v>
      </c>
      <c r="G811" s="3">
        <v>42709</v>
      </c>
      <c r="H811">
        <v>825143039</v>
      </c>
      <c r="I811" s="3">
        <v>42724</v>
      </c>
      <c r="J811">
        <v>7017</v>
      </c>
      <c r="K811">
        <v>437.2</v>
      </c>
      <c r="L811">
        <v>263.33</v>
      </c>
      <c r="M811">
        <f t="shared" si="108"/>
        <v>3067832.4</v>
      </c>
      <c r="N811">
        <f t="shared" si="109"/>
        <v>1847786.6099999999</v>
      </c>
      <c r="O811">
        <f t="shared" si="110"/>
        <v>1220045.79</v>
      </c>
      <c r="P811" s="6">
        <f t="shared" si="111"/>
        <v>0.39768984446477584</v>
      </c>
      <c r="Q811">
        <f t="shared" si="112"/>
        <v>15</v>
      </c>
      <c r="R811">
        <f t="shared" si="113"/>
        <v>2016</v>
      </c>
      <c r="S811" t="str">
        <f t="shared" si="114"/>
        <v>December</v>
      </c>
      <c r="T811">
        <f t="shared" si="115"/>
        <v>12</v>
      </c>
      <c r="U811" t="str">
        <f t="shared" si="116"/>
        <v>High Profit</v>
      </c>
    </row>
    <row r="812" spans="1:21" x14ac:dyDescent="0.35">
      <c r="A812" s="5" t="s">
        <v>42</v>
      </c>
      <c r="B812" s="5" t="s">
        <v>387</v>
      </c>
      <c r="C812" t="s">
        <v>27</v>
      </c>
      <c r="D812" t="s">
        <v>1037</v>
      </c>
      <c r="E812" t="s">
        <v>29</v>
      </c>
      <c r="F812" t="s">
        <v>66</v>
      </c>
      <c r="G812" s="3">
        <v>41555</v>
      </c>
      <c r="H812">
        <v>751940190</v>
      </c>
      <c r="I812" s="3">
        <v>41557</v>
      </c>
      <c r="J812">
        <v>4667</v>
      </c>
      <c r="K812">
        <v>154.06</v>
      </c>
      <c r="L812">
        <v>90.93</v>
      </c>
      <c r="M812">
        <f t="shared" si="108"/>
        <v>718998.02</v>
      </c>
      <c r="N812">
        <f t="shared" si="109"/>
        <v>424370.31000000006</v>
      </c>
      <c r="O812">
        <f t="shared" si="110"/>
        <v>294627.70999999996</v>
      </c>
      <c r="P812" s="6">
        <f t="shared" si="111"/>
        <v>0.40977541217707381</v>
      </c>
      <c r="Q812">
        <f t="shared" si="112"/>
        <v>2</v>
      </c>
      <c r="R812">
        <f t="shared" si="113"/>
        <v>2013</v>
      </c>
      <c r="S812" t="str">
        <f t="shared" si="114"/>
        <v>October</v>
      </c>
      <c r="T812">
        <f t="shared" si="115"/>
        <v>10</v>
      </c>
      <c r="U812" t="str">
        <f t="shared" si="116"/>
        <v>Medium Profit</v>
      </c>
    </row>
    <row r="813" spans="1:21" x14ac:dyDescent="0.35">
      <c r="A813" s="5" t="s">
        <v>37</v>
      </c>
      <c r="B813" s="5" t="s">
        <v>38</v>
      </c>
      <c r="C813" t="s">
        <v>30</v>
      </c>
      <c r="D813" t="s">
        <v>1038</v>
      </c>
      <c r="E813" t="s">
        <v>23</v>
      </c>
      <c r="F813" t="s">
        <v>41</v>
      </c>
      <c r="G813" s="3">
        <v>42591</v>
      </c>
      <c r="H813">
        <v>579379737</v>
      </c>
      <c r="I813" s="3">
        <v>42608</v>
      </c>
      <c r="J813">
        <v>194</v>
      </c>
      <c r="K813">
        <v>255.28</v>
      </c>
      <c r="L813">
        <v>159.41999999999999</v>
      </c>
      <c r="M813">
        <f t="shared" si="108"/>
        <v>49524.32</v>
      </c>
      <c r="N813">
        <f t="shared" si="109"/>
        <v>30927.479999999996</v>
      </c>
      <c r="O813">
        <f t="shared" si="110"/>
        <v>18596.840000000004</v>
      </c>
      <c r="P813" s="6">
        <f t="shared" si="111"/>
        <v>0.37550924475086189</v>
      </c>
      <c r="Q813">
        <f t="shared" si="112"/>
        <v>17</v>
      </c>
      <c r="R813">
        <f t="shared" si="113"/>
        <v>2016</v>
      </c>
      <c r="S813" t="str">
        <f t="shared" si="114"/>
        <v>August</v>
      </c>
      <c r="T813">
        <f t="shared" si="115"/>
        <v>8</v>
      </c>
      <c r="U813" t="str">
        <f t="shared" si="116"/>
        <v>Low Profit</v>
      </c>
    </row>
    <row r="814" spans="1:21" x14ac:dyDescent="0.35">
      <c r="A814" s="5" t="s">
        <v>42</v>
      </c>
      <c r="B814" s="5" t="s">
        <v>249</v>
      </c>
      <c r="C814" t="s">
        <v>92</v>
      </c>
      <c r="D814" t="s">
        <v>1039</v>
      </c>
      <c r="E814" t="s">
        <v>29</v>
      </c>
      <c r="F814" t="s">
        <v>32</v>
      </c>
      <c r="G814" s="3">
        <v>40822</v>
      </c>
      <c r="H814">
        <v>234073007</v>
      </c>
      <c r="I814" s="3">
        <v>40867</v>
      </c>
      <c r="J814">
        <v>6259</v>
      </c>
      <c r="K814">
        <v>421.89</v>
      </c>
      <c r="L814">
        <v>364.69</v>
      </c>
      <c r="M814">
        <f t="shared" si="108"/>
        <v>2640609.5099999998</v>
      </c>
      <c r="N814">
        <f t="shared" si="109"/>
        <v>2282594.71</v>
      </c>
      <c r="O814">
        <f t="shared" si="110"/>
        <v>358014.79999999981</v>
      </c>
      <c r="P814" s="6">
        <f t="shared" si="111"/>
        <v>0.13558036455000114</v>
      </c>
      <c r="Q814">
        <f t="shared" si="112"/>
        <v>45</v>
      </c>
      <c r="R814">
        <f t="shared" si="113"/>
        <v>2011</v>
      </c>
      <c r="S814" t="str">
        <f t="shared" si="114"/>
        <v>October</v>
      </c>
      <c r="T814">
        <f t="shared" si="115"/>
        <v>10</v>
      </c>
      <c r="U814" t="str">
        <f t="shared" si="116"/>
        <v>Medium Profit</v>
      </c>
    </row>
    <row r="815" spans="1:21" x14ac:dyDescent="0.35">
      <c r="A815" s="5" t="s">
        <v>19</v>
      </c>
      <c r="B815" s="5" t="s">
        <v>560</v>
      </c>
      <c r="C815" t="s">
        <v>92</v>
      </c>
      <c r="D815" t="s">
        <v>1040</v>
      </c>
      <c r="E815" t="s">
        <v>29</v>
      </c>
      <c r="F815" t="s">
        <v>32</v>
      </c>
      <c r="G815" s="3">
        <v>41322</v>
      </c>
      <c r="H815">
        <v>612943828</v>
      </c>
      <c r="I815" s="3">
        <v>41334</v>
      </c>
      <c r="J815">
        <v>2554</v>
      </c>
      <c r="K815">
        <v>421.89</v>
      </c>
      <c r="L815">
        <v>364.69</v>
      </c>
      <c r="M815">
        <f t="shared" si="108"/>
        <v>1077507.06</v>
      </c>
      <c r="N815">
        <f t="shared" si="109"/>
        <v>931418.26</v>
      </c>
      <c r="O815">
        <f t="shared" si="110"/>
        <v>146088.80000000005</v>
      </c>
      <c r="P815" s="6">
        <f t="shared" si="111"/>
        <v>0.13558036455000122</v>
      </c>
      <c r="Q815">
        <f t="shared" si="112"/>
        <v>12</v>
      </c>
      <c r="R815">
        <f t="shared" si="113"/>
        <v>2013</v>
      </c>
      <c r="S815" t="str">
        <f t="shared" si="114"/>
        <v>February</v>
      </c>
      <c r="T815">
        <f t="shared" si="115"/>
        <v>2</v>
      </c>
      <c r="U815" t="str">
        <f t="shared" si="116"/>
        <v>Medium Profit</v>
      </c>
    </row>
    <row r="816" spans="1:21" x14ac:dyDescent="0.35">
      <c r="A816" s="5" t="s">
        <v>37</v>
      </c>
      <c r="B816" s="5" t="s">
        <v>384</v>
      </c>
      <c r="C816" t="s">
        <v>39</v>
      </c>
      <c r="D816" t="s">
        <v>1041</v>
      </c>
      <c r="E816" t="s">
        <v>29</v>
      </c>
      <c r="F816" t="s">
        <v>32</v>
      </c>
      <c r="G816" s="3">
        <v>41257</v>
      </c>
      <c r="H816">
        <v>433228528</v>
      </c>
      <c r="I816" s="3">
        <v>41264</v>
      </c>
      <c r="J816">
        <v>804</v>
      </c>
      <c r="K816">
        <v>9.33</v>
      </c>
      <c r="L816">
        <v>6.92</v>
      </c>
      <c r="M816">
        <f t="shared" si="108"/>
        <v>7501.32</v>
      </c>
      <c r="N816">
        <f t="shared" si="109"/>
        <v>5563.68</v>
      </c>
      <c r="O816">
        <f t="shared" si="110"/>
        <v>1937.6399999999994</v>
      </c>
      <c r="P816" s="6">
        <f t="shared" si="111"/>
        <v>0.25830653804930326</v>
      </c>
      <c r="Q816">
        <f t="shared" si="112"/>
        <v>7</v>
      </c>
      <c r="R816">
        <f t="shared" si="113"/>
        <v>2012</v>
      </c>
      <c r="S816" t="str">
        <f t="shared" si="114"/>
        <v>December</v>
      </c>
      <c r="T816">
        <f t="shared" si="115"/>
        <v>12</v>
      </c>
      <c r="U816" t="str">
        <f t="shared" si="116"/>
        <v>Low Profit</v>
      </c>
    </row>
    <row r="817" spans="1:21" x14ac:dyDescent="0.35">
      <c r="A817" s="5" t="s">
        <v>19</v>
      </c>
      <c r="B817" s="5" t="s">
        <v>310</v>
      </c>
      <c r="C817" t="s">
        <v>39</v>
      </c>
      <c r="D817" t="s">
        <v>1042</v>
      </c>
      <c r="E817" t="s">
        <v>29</v>
      </c>
      <c r="F817" t="s">
        <v>66</v>
      </c>
      <c r="G817" s="3">
        <v>42328</v>
      </c>
      <c r="H817">
        <v>282475936</v>
      </c>
      <c r="I817" s="3">
        <v>42336</v>
      </c>
      <c r="J817">
        <v>9762</v>
      </c>
      <c r="K817">
        <v>9.33</v>
      </c>
      <c r="L817">
        <v>6.92</v>
      </c>
      <c r="M817">
        <f t="shared" si="108"/>
        <v>91079.46</v>
      </c>
      <c r="N817">
        <f t="shared" si="109"/>
        <v>67553.039999999994</v>
      </c>
      <c r="O817">
        <f t="shared" si="110"/>
        <v>23526.420000000013</v>
      </c>
      <c r="P817" s="6">
        <f t="shared" si="111"/>
        <v>0.25830653804930342</v>
      </c>
      <c r="Q817">
        <f t="shared" si="112"/>
        <v>8</v>
      </c>
      <c r="R817">
        <f t="shared" si="113"/>
        <v>2015</v>
      </c>
      <c r="S817" t="str">
        <f t="shared" si="114"/>
        <v>November</v>
      </c>
      <c r="T817">
        <f t="shared" si="115"/>
        <v>11</v>
      </c>
      <c r="U817" t="str">
        <f t="shared" si="116"/>
        <v>Low Profit</v>
      </c>
    </row>
    <row r="818" spans="1:21" x14ac:dyDescent="0.35">
      <c r="A818" s="5" t="s">
        <v>33</v>
      </c>
      <c r="B818" s="5" t="s">
        <v>497</v>
      </c>
      <c r="C818" t="s">
        <v>92</v>
      </c>
      <c r="D818" t="s">
        <v>1043</v>
      </c>
      <c r="E818" t="s">
        <v>29</v>
      </c>
      <c r="F818" t="s">
        <v>24</v>
      </c>
      <c r="G818" s="3">
        <v>41097</v>
      </c>
      <c r="H818">
        <v>368547379</v>
      </c>
      <c r="I818" s="3">
        <v>41102</v>
      </c>
      <c r="J818">
        <v>214</v>
      </c>
      <c r="K818">
        <v>421.89</v>
      </c>
      <c r="L818">
        <v>364.69</v>
      </c>
      <c r="M818">
        <f t="shared" si="108"/>
        <v>90284.459999999992</v>
      </c>
      <c r="N818">
        <f t="shared" si="109"/>
        <v>78043.66</v>
      </c>
      <c r="O818">
        <f t="shared" si="110"/>
        <v>12240.799999999988</v>
      </c>
      <c r="P818" s="6">
        <f t="shared" si="111"/>
        <v>0.13558036455000108</v>
      </c>
      <c r="Q818">
        <f t="shared" si="112"/>
        <v>5</v>
      </c>
      <c r="R818">
        <f t="shared" si="113"/>
        <v>2012</v>
      </c>
      <c r="S818" t="str">
        <f t="shared" si="114"/>
        <v>July</v>
      </c>
      <c r="T818">
        <f t="shared" si="115"/>
        <v>7</v>
      </c>
      <c r="U818" t="str">
        <f t="shared" si="116"/>
        <v>Low Profit</v>
      </c>
    </row>
    <row r="819" spans="1:21" x14ac:dyDescent="0.35">
      <c r="A819" s="5" t="s">
        <v>53</v>
      </c>
      <c r="B819" s="5" t="s">
        <v>522</v>
      </c>
      <c r="C819" t="s">
        <v>92</v>
      </c>
      <c r="D819" t="s">
        <v>1044</v>
      </c>
      <c r="E819" t="s">
        <v>23</v>
      </c>
      <c r="F819" t="s">
        <v>41</v>
      </c>
      <c r="G819" s="3">
        <v>41427</v>
      </c>
      <c r="H819">
        <v>969616687</v>
      </c>
      <c r="I819" s="3">
        <v>41453</v>
      </c>
      <c r="J819">
        <v>9980</v>
      </c>
      <c r="K819">
        <v>421.89</v>
      </c>
      <c r="L819">
        <v>364.69</v>
      </c>
      <c r="M819">
        <f t="shared" si="108"/>
        <v>4210462.2</v>
      </c>
      <c r="N819">
        <f t="shared" si="109"/>
        <v>3639606.2</v>
      </c>
      <c r="O819">
        <f t="shared" si="110"/>
        <v>570856</v>
      </c>
      <c r="P819" s="6">
        <f t="shared" si="111"/>
        <v>0.13558036455000119</v>
      </c>
      <c r="Q819">
        <f t="shared" si="112"/>
        <v>26</v>
      </c>
      <c r="R819">
        <f t="shared" si="113"/>
        <v>2013</v>
      </c>
      <c r="S819" t="str">
        <f t="shared" si="114"/>
        <v>June</v>
      </c>
      <c r="T819">
        <f t="shared" si="115"/>
        <v>6</v>
      </c>
      <c r="U819" t="str">
        <f t="shared" si="116"/>
        <v>High Profit</v>
      </c>
    </row>
    <row r="820" spans="1:21" x14ac:dyDescent="0.35">
      <c r="A820" s="5" t="s">
        <v>37</v>
      </c>
      <c r="B820" s="5" t="s">
        <v>164</v>
      </c>
      <c r="C820" t="s">
        <v>30</v>
      </c>
      <c r="D820" t="s">
        <v>1045</v>
      </c>
      <c r="E820" t="s">
        <v>29</v>
      </c>
      <c r="F820" t="s">
        <v>66</v>
      </c>
      <c r="G820" s="3">
        <v>42039</v>
      </c>
      <c r="H820">
        <v>184170186</v>
      </c>
      <c r="I820" s="3">
        <v>42052</v>
      </c>
      <c r="J820">
        <v>8906</v>
      </c>
      <c r="K820">
        <v>255.28</v>
      </c>
      <c r="L820">
        <v>159.41999999999999</v>
      </c>
      <c r="M820">
        <f t="shared" si="108"/>
        <v>2273523.6800000002</v>
      </c>
      <c r="N820">
        <f t="shared" si="109"/>
        <v>1419794.5199999998</v>
      </c>
      <c r="O820">
        <f t="shared" si="110"/>
        <v>853729.16000000038</v>
      </c>
      <c r="P820" s="6">
        <f t="shared" si="111"/>
        <v>0.37550924475086195</v>
      </c>
      <c r="Q820">
        <f t="shared" si="112"/>
        <v>13</v>
      </c>
      <c r="R820">
        <f t="shared" si="113"/>
        <v>2015</v>
      </c>
      <c r="S820" t="str">
        <f t="shared" si="114"/>
        <v>February</v>
      </c>
      <c r="T820">
        <f t="shared" si="115"/>
        <v>2</v>
      </c>
      <c r="U820" t="str">
        <f t="shared" si="116"/>
        <v>High Profit</v>
      </c>
    </row>
    <row r="821" spans="1:21" x14ac:dyDescent="0.35">
      <c r="A821" s="5" t="s">
        <v>42</v>
      </c>
      <c r="B821" s="5" t="s">
        <v>43</v>
      </c>
      <c r="C821" t="s">
        <v>39</v>
      </c>
      <c r="D821" t="s">
        <v>1046</v>
      </c>
      <c r="E821" t="s">
        <v>29</v>
      </c>
      <c r="F821" t="s">
        <v>32</v>
      </c>
      <c r="G821" s="3">
        <v>40661</v>
      </c>
      <c r="H821">
        <v>681006705</v>
      </c>
      <c r="I821" s="3">
        <v>40708</v>
      </c>
      <c r="J821">
        <v>3872</v>
      </c>
      <c r="K821">
        <v>9.33</v>
      </c>
      <c r="L821">
        <v>6.92</v>
      </c>
      <c r="M821">
        <f t="shared" si="108"/>
        <v>36125.760000000002</v>
      </c>
      <c r="N821">
        <f t="shared" si="109"/>
        <v>26794.239999999998</v>
      </c>
      <c r="O821">
        <f t="shared" si="110"/>
        <v>9331.5200000000041</v>
      </c>
      <c r="P821" s="6">
        <f t="shared" si="111"/>
        <v>0.25830653804930342</v>
      </c>
      <c r="Q821">
        <f t="shared" si="112"/>
        <v>47</v>
      </c>
      <c r="R821">
        <f t="shared" si="113"/>
        <v>2011</v>
      </c>
      <c r="S821" t="str">
        <f t="shared" si="114"/>
        <v>April</v>
      </c>
      <c r="T821">
        <f t="shared" si="115"/>
        <v>4</v>
      </c>
      <c r="U821" t="str">
        <f t="shared" si="116"/>
        <v>Low Profit</v>
      </c>
    </row>
    <row r="822" spans="1:21" x14ac:dyDescent="0.35">
      <c r="A822" s="5" t="s">
        <v>37</v>
      </c>
      <c r="B822" s="5" t="s">
        <v>216</v>
      </c>
      <c r="C822" t="s">
        <v>30</v>
      </c>
      <c r="D822" t="s">
        <v>1047</v>
      </c>
      <c r="E822" t="s">
        <v>29</v>
      </c>
      <c r="F822" t="s">
        <v>66</v>
      </c>
      <c r="G822" s="3">
        <v>40940</v>
      </c>
      <c r="H822">
        <v>249237573</v>
      </c>
      <c r="I822" s="3">
        <v>40960</v>
      </c>
      <c r="J822">
        <v>3791</v>
      </c>
      <c r="K822">
        <v>255.28</v>
      </c>
      <c r="L822">
        <v>159.41999999999999</v>
      </c>
      <c r="M822">
        <f t="shared" si="108"/>
        <v>967766.48</v>
      </c>
      <c r="N822">
        <f t="shared" si="109"/>
        <v>604361.22</v>
      </c>
      <c r="O822">
        <f t="shared" si="110"/>
        <v>363405.26</v>
      </c>
      <c r="P822" s="6">
        <f t="shared" si="111"/>
        <v>0.37550924475086184</v>
      </c>
      <c r="Q822">
        <f t="shared" si="112"/>
        <v>20</v>
      </c>
      <c r="R822">
        <f t="shared" si="113"/>
        <v>2012</v>
      </c>
      <c r="S822" t="str">
        <f t="shared" si="114"/>
        <v>February</v>
      </c>
      <c r="T822">
        <f t="shared" si="115"/>
        <v>2</v>
      </c>
      <c r="U822" t="str">
        <f t="shared" si="116"/>
        <v>Medium Profit</v>
      </c>
    </row>
    <row r="823" spans="1:21" x14ac:dyDescent="0.35">
      <c r="A823" s="5" t="s">
        <v>33</v>
      </c>
      <c r="B823" s="5" t="s">
        <v>645</v>
      </c>
      <c r="C823" t="s">
        <v>27</v>
      </c>
      <c r="D823" t="s">
        <v>1048</v>
      </c>
      <c r="E823" t="s">
        <v>23</v>
      </c>
      <c r="F823" t="s">
        <v>41</v>
      </c>
      <c r="G823" s="3">
        <v>42764</v>
      </c>
      <c r="H823">
        <v>348286616</v>
      </c>
      <c r="I823" s="3">
        <v>42779</v>
      </c>
      <c r="J823">
        <v>4604</v>
      </c>
      <c r="K823">
        <v>154.06</v>
      </c>
      <c r="L823">
        <v>90.93</v>
      </c>
      <c r="M823">
        <f t="shared" si="108"/>
        <v>709292.24</v>
      </c>
      <c r="N823">
        <f t="shared" si="109"/>
        <v>418641.72000000003</v>
      </c>
      <c r="O823">
        <f t="shared" si="110"/>
        <v>290650.51999999996</v>
      </c>
      <c r="P823" s="6">
        <f t="shared" si="111"/>
        <v>0.40977541217707381</v>
      </c>
      <c r="Q823">
        <f t="shared" si="112"/>
        <v>15</v>
      </c>
      <c r="R823">
        <f t="shared" si="113"/>
        <v>2017</v>
      </c>
      <c r="S823" t="str">
        <f t="shared" si="114"/>
        <v>January</v>
      </c>
      <c r="T823">
        <f t="shared" si="115"/>
        <v>1</v>
      </c>
      <c r="U823" t="str">
        <f t="shared" si="116"/>
        <v>Medium Profit</v>
      </c>
    </row>
    <row r="824" spans="1:21" x14ac:dyDescent="0.35">
      <c r="A824" s="5" t="s">
        <v>53</v>
      </c>
      <c r="B824" s="5" t="s">
        <v>54</v>
      </c>
      <c r="C824" t="s">
        <v>48</v>
      </c>
      <c r="D824" t="s">
        <v>1049</v>
      </c>
      <c r="E824" t="s">
        <v>23</v>
      </c>
      <c r="F824" t="s">
        <v>66</v>
      </c>
      <c r="G824" s="3">
        <v>40878</v>
      </c>
      <c r="H824">
        <v>257890164</v>
      </c>
      <c r="I824" s="3">
        <v>40906</v>
      </c>
      <c r="J824">
        <v>4285</v>
      </c>
      <c r="K824">
        <v>109.28</v>
      </c>
      <c r="L824">
        <v>35.840000000000003</v>
      </c>
      <c r="M824">
        <f t="shared" si="108"/>
        <v>468264.8</v>
      </c>
      <c r="N824">
        <f t="shared" si="109"/>
        <v>153574.40000000002</v>
      </c>
      <c r="O824">
        <f t="shared" si="110"/>
        <v>314690.39999999997</v>
      </c>
      <c r="P824" s="6">
        <f t="shared" si="111"/>
        <v>0.67203513909224011</v>
      </c>
      <c r="Q824">
        <f t="shared" si="112"/>
        <v>28</v>
      </c>
      <c r="R824">
        <f t="shared" si="113"/>
        <v>2011</v>
      </c>
      <c r="S824" t="str">
        <f t="shared" si="114"/>
        <v>December</v>
      </c>
      <c r="T824">
        <f t="shared" si="115"/>
        <v>12</v>
      </c>
      <c r="U824" t="str">
        <f t="shared" si="116"/>
        <v>Medium Profit</v>
      </c>
    </row>
    <row r="825" spans="1:21" x14ac:dyDescent="0.35">
      <c r="A825" s="5" t="s">
        <v>42</v>
      </c>
      <c r="B825" s="5" t="s">
        <v>159</v>
      </c>
      <c r="C825" t="s">
        <v>21</v>
      </c>
      <c r="D825" t="s">
        <v>1050</v>
      </c>
      <c r="E825" t="s">
        <v>29</v>
      </c>
      <c r="F825" t="s">
        <v>41</v>
      </c>
      <c r="G825" s="3">
        <v>42863</v>
      </c>
      <c r="H825">
        <v>228097045</v>
      </c>
      <c r="I825" s="3">
        <v>42903</v>
      </c>
      <c r="J825">
        <v>7839</v>
      </c>
      <c r="K825">
        <v>437.2</v>
      </c>
      <c r="L825">
        <v>263.33</v>
      </c>
      <c r="M825">
        <f t="shared" si="108"/>
        <v>3427210.8</v>
      </c>
      <c r="N825">
        <f t="shared" si="109"/>
        <v>2064243.8699999999</v>
      </c>
      <c r="O825">
        <f t="shared" si="110"/>
        <v>1362966.93</v>
      </c>
      <c r="P825" s="6">
        <f t="shared" si="111"/>
        <v>0.39768984446477584</v>
      </c>
      <c r="Q825">
        <f t="shared" si="112"/>
        <v>40</v>
      </c>
      <c r="R825">
        <f t="shared" si="113"/>
        <v>2017</v>
      </c>
      <c r="S825" t="str">
        <f t="shared" si="114"/>
        <v>May</v>
      </c>
      <c r="T825">
        <f t="shared" si="115"/>
        <v>5</v>
      </c>
      <c r="U825" t="str">
        <f t="shared" si="116"/>
        <v>High Profit</v>
      </c>
    </row>
    <row r="826" spans="1:21" x14ac:dyDescent="0.35">
      <c r="A826" s="5" t="s">
        <v>37</v>
      </c>
      <c r="B826" s="5" t="s">
        <v>155</v>
      </c>
      <c r="C826" t="s">
        <v>35</v>
      </c>
      <c r="D826" t="s">
        <v>1051</v>
      </c>
      <c r="E826" t="s">
        <v>29</v>
      </c>
      <c r="F826" t="s">
        <v>32</v>
      </c>
      <c r="G826" s="3">
        <v>42858</v>
      </c>
      <c r="H826">
        <v>129268586</v>
      </c>
      <c r="I826" s="3">
        <v>42907</v>
      </c>
      <c r="J826">
        <v>2302</v>
      </c>
      <c r="K826">
        <v>205.7</v>
      </c>
      <c r="L826">
        <v>117.11</v>
      </c>
      <c r="M826">
        <f t="shared" si="108"/>
        <v>473521.39999999997</v>
      </c>
      <c r="N826">
        <f t="shared" si="109"/>
        <v>269587.21999999997</v>
      </c>
      <c r="O826">
        <f t="shared" si="110"/>
        <v>203934.18</v>
      </c>
      <c r="P826" s="6">
        <f t="shared" si="111"/>
        <v>0.43067574137092857</v>
      </c>
      <c r="Q826">
        <f t="shared" si="112"/>
        <v>49</v>
      </c>
      <c r="R826">
        <f t="shared" si="113"/>
        <v>2017</v>
      </c>
      <c r="S826" t="str">
        <f t="shared" si="114"/>
        <v>May</v>
      </c>
      <c r="T826">
        <f t="shared" si="115"/>
        <v>5</v>
      </c>
      <c r="U826" t="str">
        <f t="shared" si="116"/>
        <v>Medium Profit</v>
      </c>
    </row>
    <row r="827" spans="1:21" x14ac:dyDescent="0.35">
      <c r="A827" s="5" t="s">
        <v>53</v>
      </c>
      <c r="B827" s="5" t="s">
        <v>54</v>
      </c>
      <c r="C827" t="s">
        <v>21</v>
      </c>
      <c r="D827" t="s">
        <v>1052</v>
      </c>
      <c r="E827" t="s">
        <v>29</v>
      </c>
      <c r="F827" t="s">
        <v>24</v>
      </c>
      <c r="G827" s="3">
        <v>42308</v>
      </c>
      <c r="H827">
        <v>802078616</v>
      </c>
      <c r="I827" s="3">
        <v>42347</v>
      </c>
      <c r="J827">
        <v>1741</v>
      </c>
      <c r="K827">
        <v>437.2</v>
      </c>
      <c r="L827">
        <v>263.33</v>
      </c>
      <c r="M827">
        <f t="shared" si="108"/>
        <v>761165.2</v>
      </c>
      <c r="N827">
        <f t="shared" si="109"/>
        <v>458457.52999999997</v>
      </c>
      <c r="O827">
        <f t="shared" si="110"/>
        <v>302707.67</v>
      </c>
      <c r="P827" s="6">
        <f t="shared" si="111"/>
        <v>0.39768984446477584</v>
      </c>
      <c r="Q827">
        <f t="shared" si="112"/>
        <v>39</v>
      </c>
      <c r="R827">
        <f t="shared" si="113"/>
        <v>2015</v>
      </c>
      <c r="S827" t="str">
        <f t="shared" si="114"/>
        <v>October</v>
      </c>
      <c r="T827">
        <f t="shared" si="115"/>
        <v>10</v>
      </c>
      <c r="U827" t="str">
        <f t="shared" si="116"/>
        <v>Medium Profit</v>
      </c>
    </row>
    <row r="828" spans="1:21" x14ac:dyDescent="0.35">
      <c r="A828" s="5" t="s">
        <v>42</v>
      </c>
      <c r="B828" s="5" t="s">
        <v>464</v>
      </c>
      <c r="C828" t="s">
        <v>48</v>
      </c>
      <c r="D828" t="s">
        <v>1053</v>
      </c>
      <c r="E828" t="s">
        <v>23</v>
      </c>
      <c r="F828" t="s">
        <v>32</v>
      </c>
      <c r="G828" s="3">
        <v>40279</v>
      </c>
      <c r="H828">
        <v>907513463</v>
      </c>
      <c r="I828" s="3">
        <v>40287</v>
      </c>
      <c r="J828">
        <v>2256</v>
      </c>
      <c r="K828">
        <v>109.28</v>
      </c>
      <c r="L828">
        <v>35.840000000000003</v>
      </c>
      <c r="M828">
        <f t="shared" si="108"/>
        <v>246535.67999999999</v>
      </c>
      <c r="N828">
        <f t="shared" si="109"/>
        <v>80855.040000000008</v>
      </c>
      <c r="O828">
        <f t="shared" si="110"/>
        <v>165680.63999999998</v>
      </c>
      <c r="P828" s="6">
        <f t="shared" si="111"/>
        <v>0.67203513909224011</v>
      </c>
      <c r="Q828">
        <f t="shared" si="112"/>
        <v>8</v>
      </c>
      <c r="R828">
        <f t="shared" si="113"/>
        <v>2010</v>
      </c>
      <c r="S828" t="str">
        <f t="shared" si="114"/>
        <v>April</v>
      </c>
      <c r="T828">
        <f t="shared" si="115"/>
        <v>4</v>
      </c>
      <c r="U828" t="str">
        <f t="shared" si="116"/>
        <v>Medium Profit</v>
      </c>
    </row>
    <row r="829" spans="1:21" x14ac:dyDescent="0.35">
      <c r="A829" s="5" t="s">
        <v>33</v>
      </c>
      <c r="B829" s="5" t="s">
        <v>439</v>
      </c>
      <c r="C829" t="s">
        <v>27</v>
      </c>
      <c r="D829" t="s">
        <v>1054</v>
      </c>
      <c r="E829" t="s">
        <v>29</v>
      </c>
      <c r="F829" t="s">
        <v>66</v>
      </c>
      <c r="G829" s="3">
        <v>40376</v>
      </c>
      <c r="H829">
        <v>976871955</v>
      </c>
      <c r="I829" s="3">
        <v>40421</v>
      </c>
      <c r="J829">
        <v>6975</v>
      </c>
      <c r="K829">
        <v>154.06</v>
      </c>
      <c r="L829">
        <v>90.93</v>
      </c>
      <c r="M829">
        <f t="shared" si="108"/>
        <v>1074568.5</v>
      </c>
      <c r="N829">
        <f t="shared" si="109"/>
        <v>634236.75</v>
      </c>
      <c r="O829">
        <f t="shared" si="110"/>
        <v>440331.75</v>
      </c>
      <c r="P829" s="6">
        <f t="shared" si="111"/>
        <v>0.40977541217707386</v>
      </c>
      <c r="Q829">
        <f t="shared" si="112"/>
        <v>45</v>
      </c>
      <c r="R829">
        <f t="shared" si="113"/>
        <v>2010</v>
      </c>
      <c r="S829" t="str">
        <f t="shared" si="114"/>
        <v>July</v>
      </c>
      <c r="T829">
        <f t="shared" si="115"/>
        <v>7</v>
      </c>
      <c r="U829" t="str">
        <f t="shared" si="116"/>
        <v>Medium Profit</v>
      </c>
    </row>
    <row r="830" spans="1:21" x14ac:dyDescent="0.35">
      <c r="A830" s="5" t="s">
        <v>42</v>
      </c>
      <c r="B830" s="5" t="s">
        <v>113</v>
      </c>
      <c r="C830" t="s">
        <v>35</v>
      </c>
      <c r="D830" t="s">
        <v>1055</v>
      </c>
      <c r="E830" t="s">
        <v>23</v>
      </c>
      <c r="F830" t="s">
        <v>32</v>
      </c>
      <c r="G830" s="3">
        <v>41060</v>
      </c>
      <c r="H830">
        <v>261765420</v>
      </c>
      <c r="I830" s="3">
        <v>41107</v>
      </c>
      <c r="J830">
        <v>1060</v>
      </c>
      <c r="K830">
        <v>205.7</v>
      </c>
      <c r="L830">
        <v>117.11</v>
      </c>
      <c r="M830">
        <f t="shared" si="108"/>
        <v>218042</v>
      </c>
      <c r="N830">
        <f t="shared" si="109"/>
        <v>124136.6</v>
      </c>
      <c r="O830">
        <f t="shared" si="110"/>
        <v>93905.4</v>
      </c>
      <c r="P830" s="6">
        <f t="shared" si="111"/>
        <v>0.43067574137092851</v>
      </c>
      <c r="Q830">
        <f t="shared" si="112"/>
        <v>47</v>
      </c>
      <c r="R830">
        <f t="shared" si="113"/>
        <v>2012</v>
      </c>
      <c r="S830" t="str">
        <f t="shared" si="114"/>
        <v>May</v>
      </c>
      <c r="T830">
        <f t="shared" si="115"/>
        <v>5</v>
      </c>
      <c r="U830" t="str">
        <f t="shared" si="116"/>
        <v>Low Profit</v>
      </c>
    </row>
    <row r="831" spans="1:21" x14ac:dyDescent="0.35">
      <c r="A831" s="5" t="s">
        <v>53</v>
      </c>
      <c r="B831" s="5" t="s">
        <v>340</v>
      </c>
      <c r="C831" t="s">
        <v>27</v>
      </c>
      <c r="D831" t="s">
        <v>1056</v>
      </c>
      <c r="E831" t="s">
        <v>23</v>
      </c>
      <c r="F831" t="s">
        <v>66</v>
      </c>
      <c r="G831" s="3">
        <v>42566</v>
      </c>
      <c r="H831">
        <v>784117686</v>
      </c>
      <c r="I831" s="3">
        <v>42568</v>
      </c>
      <c r="J831">
        <v>6703</v>
      </c>
      <c r="K831">
        <v>154.06</v>
      </c>
      <c r="L831">
        <v>90.93</v>
      </c>
      <c r="M831">
        <f t="shared" si="108"/>
        <v>1032664.18</v>
      </c>
      <c r="N831">
        <f t="shared" si="109"/>
        <v>609503.79</v>
      </c>
      <c r="O831">
        <f t="shared" si="110"/>
        <v>423160.39</v>
      </c>
      <c r="P831" s="6">
        <f t="shared" si="111"/>
        <v>0.40977541217707386</v>
      </c>
      <c r="Q831">
        <f t="shared" si="112"/>
        <v>2</v>
      </c>
      <c r="R831">
        <f t="shared" si="113"/>
        <v>2016</v>
      </c>
      <c r="S831" t="str">
        <f t="shared" si="114"/>
        <v>July</v>
      </c>
      <c r="T831">
        <f t="shared" si="115"/>
        <v>7</v>
      </c>
      <c r="U831" t="str">
        <f t="shared" si="116"/>
        <v>Medium Profit</v>
      </c>
    </row>
    <row r="832" spans="1:21" x14ac:dyDescent="0.35">
      <c r="A832" s="5" t="s">
        <v>33</v>
      </c>
      <c r="B832" s="5" t="s">
        <v>231</v>
      </c>
      <c r="C832" t="s">
        <v>21</v>
      </c>
      <c r="D832" t="s">
        <v>1057</v>
      </c>
      <c r="E832" t="s">
        <v>23</v>
      </c>
      <c r="F832" t="s">
        <v>24</v>
      </c>
      <c r="G832" s="3">
        <v>42749</v>
      </c>
      <c r="H832">
        <v>586165082</v>
      </c>
      <c r="I832" s="3">
        <v>42762</v>
      </c>
      <c r="J832">
        <v>8128</v>
      </c>
      <c r="K832">
        <v>437.2</v>
      </c>
      <c r="L832">
        <v>263.33</v>
      </c>
      <c r="M832">
        <f t="shared" si="108"/>
        <v>3553561.6</v>
      </c>
      <c r="N832">
        <f t="shared" si="109"/>
        <v>2140346.2399999998</v>
      </c>
      <c r="O832">
        <f t="shared" si="110"/>
        <v>1413215.3600000003</v>
      </c>
      <c r="P832" s="6">
        <f t="shared" si="111"/>
        <v>0.39768984446477595</v>
      </c>
      <c r="Q832">
        <f t="shared" si="112"/>
        <v>13</v>
      </c>
      <c r="R832">
        <f t="shared" si="113"/>
        <v>2017</v>
      </c>
      <c r="S832" t="str">
        <f t="shared" si="114"/>
        <v>January</v>
      </c>
      <c r="T832">
        <f t="shared" si="115"/>
        <v>1</v>
      </c>
      <c r="U832" t="str">
        <f t="shared" si="116"/>
        <v>High Profit</v>
      </c>
    </row>
    <row r="833" spans="1:21" x14ac:dyDescent="0.35">
      <c r="A833" s="5" t="s">
        <v>37</v>
      </c>
      <c r="B833" s="5" t="s">
        <v>445</v>
      </c>
      <c r="C833" t="s">
        <v>58</v>
      </c>
      <c r="D833" t="s">
        <v>1058</v>
      </c>
      <c r="E833" t="s">
        <v>29</v>
      </c>
      <c r="F833" t="s">
        <v>32</v>
      </c>
      <c r="G833" s="3">
        <v>41239</v>
      </c>
      <c r="H833">
        <v>480456435</v>
      </c>
      <c r="I833" s="3">
        <v>41259</v>
      </c>
      <c r="J833">
        <v>6591</v>
      </c>
      <c r="K833">
        <v>152.58000000000001</v>
      </c>
      <c r="L833">
        <v>97.44</v>
      </c>
      <c r="M833">
        <f t="shared" si="108"/>
        <v>1005654.78</v>
      </c>
      <c r="N833">
        <f t="shared" si="109"/>
        <v>642227.04</v>
      </c>
      <c r="O833">
        <f t="shared" si="110"/>
        <v>363427.74</v>
      </c>
      <c r="P833" s="6">
        <f t="shared" si="111"/>
        <v>0.36138419189933146</v>
      </c>
      <c r="Q833">
        <f t="shared" si="112"/>
        <v>20</v>
      </c>
      <c r="R833">
        <f t="shared" si="113"/>
        <v>2012</v>
      </c>
      <c r="S833" t="str">
        <f t="shared" si="114"/>
        <v>November</v>
      </c>
      <c r="T833">
        <f t="shared" si="115"/>
        <v>11</v>
      </c>
      <c r="U833" t="str">
        <f t="shared" si="116"/>
        <v>Medium Profit</v>
      </c>
    </row>
    <row r="834" spans="1:21" x14ac:dyDescent="0.35">
      <c r="A834" s="5" t="s">
        <v>33</v>
      </c>
      <c r="B834" s="5" t="s">
        <v>636</v>
      </c>
      <c r="C834" t="s">
        <v>35</v>
      </c>
      <c r="D834" t="s">
        <v>1059</v>
      </c>
      <c r="E834" t="s">
        <v>29</v>
      </c>
      <c r="F834" t="s">
        <v>66</v>
      </c>
      <c r="G834" s="3">
        <v>40819</v>
      </c>
      <c r="H834">
        <v>899853074</v>
      </c>
      <c r="I834" s="3">
        <v>40842</v>
      </c>
      <c r="J834">
        <v>5376</v>
      </c>
      <c r="K834">
        <v>205.7</v>
      </c>
      <c r="L834">
        <v>117.11</v>
      </c>
      <c r="M834">
        <f t="shared" si="108"/>
        <v>1105843.2</v>
      </c>
      <c r="N834">
        <f t="shared" si="109"/>
        <v>629583.35999999999</v>
      </c>
      <c r="O834">
        <f t="shared" si="110"/>
        <v>476259.83999999997</v>
      </c>
      <c r="P834" s="6">
        <f t="shared" si="111"/>
        <v>0.43067574137092851</v>
      </c>
      <c r="Q834">
        <f t="shared" si="112"/>
        <v>23</v>
      </c>
      <c r="R834">
        <f t="shared" si="113"/>
        <v>2011</v>
      </c>
      <c r="S834" t="str">
        <f t="shared" si="114"/>
        <v>October</v>
      </c>
      <c r="T834">
        <f t="shared" si="115"/>
        <v>10</v>
      </c>
      <c r="U834" t="str">
        <f t="shared" si="116"/>
        <v>Medium Profit</v>
      </c>
    </row>
    <row r="835" spans="1:21" x14ac:dyDescent="0.35">
      <c r="A835" s="5" t="s">
        <v>50</v>
      </c>
      <c r="B835" s="5" t="s">
        <v>435</v>
      </c>
      <c r="C835" t="s">
        <v>30</v>
      </c>
      <c r="D835" t="s">
        <v>1060</v>
      </c>
      <c r="E835" t="s">
        <v>23</v>
      </c>
      <c r="F835" t="s">
        <v>66</v>
      </c>
      <c r="G835" s="3">
        <v>40512</v>
      </c>
      <c r="H835">
        <v>547528827</v>
      </c>
      <c r="I835" s="3">
        <v>40527</v>
      </c>
      <c r="J835">
        <v>4802</v>
      </c>
      <c r="K835">
        <v>255.28</v>
      </c>
      <c r="L835">
        <v>159.41999999999999</v>
      </c>
      <c r="M835">
        <f t="shared" ref="M835:M898" si="117">J835*K835</f>
        <v>1225854.56</v>
      </c>
      <c r="N835">
        <f t="shared" ref="N835:N898" si="118">J835*L835</f>
        <v>765534.84</v>
      </c>
      <c r="O835">
        <f t="shared" ref="O835:O898" si="119">M835-N835</f>
        <v>460319.72000000009</v>
      </c>
      <c r="P835" s="6">
        <f t="shared" ref="P835:P898" si="120">O835/M835</f>
        <v>0.37550924475086184</v>
      </c>
      <c r="Q835">
        <f t="shared" ref="Q835:Q898" si="121">I835-G835</f>
        <v>15</v>
      </c>
      <c r="R835">
        <f t="shared" ref="R835:R898" si="122">YEAR(G835)</f>
        <v>2010</v>
      </c>
      <c r="S835" t="str">
        <f t="shared" ref="S835:S898" si="123">TEXT(G835,"mmmm")</f>
        <v>November</v>
      </c>
      <c r="T835">
        <f t="shared" ref="T835:T898" si="124">MONTH(G835)</f>
        <v>11</v>
      </c>
      <c r="U835" t="str">
        <f t="shared" ref="U835:U898" si="125">IF(O835&gt;=500000,"High Profit",
IF(O835&gt;=100000,"Medium Profit","Low Profit"))</f>
        <v>Medium Profit</v>
      </c>
    </row>
    <row r="836" spans="1:21" x14ac:dyDescent="0.35">
      <c r="A836" s="5" t="s">
        <v>37</v>
      </c>
      <c r="B836" s="5" t="s">
        <v>275</v>
      </c>
      <c r="C836" t="s">
        <v>27</v>
      </c>
      <c r="D836" t="s">
        <v>1061</v>
      </c>
      <c r="E836" t="s">
        <v>29</v>
      </c>
      <c r="F836" t="s">
        <v>66</v>
      </c>
      <c r="G836" s="3">
        <v>42498</v>
      </c>
      <c r="H836">
        <v>446970021</v>
      </c>
      <c r="I836" s="3">
        <v>42499</v>
      </c>
      <c r="J836">
        <v>7217</v>
      </c>
      <c r="K836">
        <v>154.06</v>
      </c>
      <c r="L836">
        <v>90.93</v>
      </c>
      <c r="M836">
        <f t="shared" si="117"/>
        <v>1111851.02</v>
      </c>
      <c r="N836">
        <f t="shared" si="118"/>
        <v>656241.81000000006</v>
      </c>
      <c r="O836">
        <f t="shared" si="119"/>
        <v>455609.20999999996</v>
      </c>
      <c r="P836" s="6">
        <f t="shared" si="120"/>
        <v>0.40977541217707381</v>
      </c>
      <c r="Q836">
        <f t="shared" si="121"/>
        <v>1</v>
      </c>
      <c r="R836">
        <f t="shared" si="122"/>
        <v>2016</v>
      </c>
      <c r="S836" t="str">
        <f t="shared" si="123"/>
        <v>May</v>
      </c>
      <c r="T836">
        <f t="shared" si="124"/>
        <v>5</v>
      </c>
      <c r="U836" t="str">
        <f t="shared" si="125"/>
        <v>Medium Profit</v>
      </c>
    </row>
    <row r="837" spans="1:21" x14ac:dyDescent="0.35">
      <c r="A837" s="5" t="s">
        <v>42</v>
      </c>
      <c r="B837" s="5" t="s">
        <v>285</v>
      </c>
      <c r="C837" t="s">
        <v>72</v>
      </c>
      <c r="D837" t="s">
        <v>1062</v>
      </c>
      <c r="E837" t="s">
        <v>23</v>
      </c>
      <c r="F837" t="s">
        <v>41</v>
      </c>
      <c r="G837" s="3">
        <v>42427</v>
      </c>
      <c r="H837">
        <v>791975486</v>
      </c>
      <c r="I837" s="3">
        <v>42449</v>
      </c>
      <c r="J837">
        <v>2001</v>
      </c>
      <c r="K837">
        <v>47.45</v>
      </c>
      <c r="L837">
        <v>31.79</v>
      </c>
      <c r="M837">
        <f t="shared" si="117"/>
        <v>94947.450000000012</v>
      </c>
      <c r="N837">
        <f t="shared" si="118"/>
        <v>63611.79</v>
      </c>
      <c r="O837">
        <f t="shared" si="119"/>
        <v>31335.660000000011</v>
      </c>
      <c r="P837" s="6">
        <f t="shared" si="120"/>
        <v>0.33003161222339311</v>
      </c>
      <c r="Q837">
        <f t="shared" si="121"/>
        <v>22</v>
      </c>
      <c r="R837">
        <f t="shared" si="122"/>
        <v>2016</v>
      </c>
      <c r="S837" t="str">
        <f t="shared" si="123"/>
        <v>February</v>
      </c>
      <c r="T837">
        <f t="shared" si="124"/>
        <v>2</v>
      </c>
      <c r="U837" t="str">
        <f t="shared" si="125"/>
        <v>Low Profit</v>
      </c>
    </row>
    <row r="838" spans="1:21" x14ac:dyDescent="0.35">
      <c r="A838" s="5" t="s">
        <v>19</v>
      </c>
      <c r="B838" s="5" t="s">
        <v>118</v>
      </c>
      <c r="C838" t="s">
        <v>27</v>
      </c>
      <c r="D838" t="s">
        <v>1063</v>
      </c>
      <c r="E838" t="s">
        <v>23</v>
      </c>
      <c r="F838" t="s">
        <v>24</v>
      </c>
      <c r="G838" s="3">
        <v>41875</v>
      </c>
      <c r="H838">
        <v>496656548</v>
      </c>
      <c r="I838" s="3">
        <v>41911</v>
      </c>
      <c r="J838">
        <v>564</v>
      </c>
      <c r="K838">
        <v>154.06</v>
      </c>
      <c r="L838">
        <v>90.93</v>
      </c>
      <c r="M838">
        <f t="shared" si="117"/>
        <v>86889.84</v>
      </c>
      <c r="N838">
        <f t="shared" si="118"/>
        <v>51284.520000000004</v>
      </c>
      <c r="O838">
        <f t="shared" si="119"/>
        <v>35605.319999999992</v>
      </c>
      <c r="P838" s="6">
        <f t="shared" si="120"/>
        <v>0.40977541217707381</v>
      </c>
      <c r="Q838">
        <f t="shared" si="121"/>
        <v>36</v>
      </c>
      <c r="R838">
        <f t="shared" si="122"/>
        <v>2014</v>
      </c>
      <c r="S838" t="str">
        <f t="shared" si="123"/>
        <v>August</v>
      </c>
      <c r="T838">
        <f t="shared" si="124"/>
        <v>8</v>
      </c>
      <c r="U838" t="str">
        <f t="shared" si="125"/>
        <v>Low Profit</v>
      </c>
    </row>
    <row r="839" spans="1:21" x14ac:dyDescent="0.35">
      <c r="A839" s="5" t="s">
        <v>19</v>
      </c>
      <c r="B839" s="5" t="s">
        <v>560</v>
      </c>
      <c r="C839" t="s">
        <v>27</v>
      </c>
      <c r="D839" t="s">
        <v>1064</v>
      </c>
      <c r="E839" t="s">
        <v>23</v>
      </c>
      <c r="F839" t="s">
        <v>32</v>
      </c>
      <c r="G839" s="3">
        <v>41420</v>
      </c>
      <c r="H839">
        <v>345437037</v>
      </c>
      <c r="I839" s="3">
        <v>41455</v>
      </c>
      <c r="J839">
        <v>1351</v>
      </c>
      <c r="K839">
        <v>154.06</v>
      </c>
      <c r="L839">
        <v>90.93</v>
      </c>
      <c r="M839">
        <f t="shared" si="117"/>
        <v>208135.06</v>
      </c>
      <c r="N839">
        <f t="shared" si="118"/>
        <v>122846.43000000001</v>
      </c>
      <c r="O839">
        <f t="shared" si="119"/>
        <v>85288.62999999999</v>
      </c>
      <c r="P839" s="6">
        <f t="shared" si="120"/>
        <v>0.40977541217707381</v>
      </c>
      <c r="Q839">
        <f t="shared" si="121"/>
        <v>35</v>
      </c>
      <c r="R839">
        <f t="shared" si="122"/>
        <v>2013</v>
      </c>
      <c r="S839" t="str">
        <f t="shared" si="123"/>
        <v>May</v>
      </c>
      <c r="T839">
        <f t="shared" si="124"/>
        <v>5</v>
      </c>
      <c r="U839" t="str">
        <f t="shared" si="125"/>
        <v>Low Profit</v>
      </c>
    </row>
    <row r="840" spans="1:21" x14ac:dyDescent="0.35">
      <c r="A840" s="5" t="s">
        <v>42</v>
      </c>
      <c r="B840" s="5" t="s">
        <v>324</v>
      </c>
      <c r="C840" t="s">
        <v>27</v>
      </c>
      <c r="D840" t="s">
        <v>1065</v>
      </c>
      <c r="E840" t="s">
        <v>23</v>
      </c>
      <c r="F840" t="s">
        <v>41</v>
      </c>
      <c r="G840" s="3">
        <v>42030</v>
      </c>
      <c r="H840">
        <v>743053281</v>
      </c>
      <c r="I840" s="3">
        <v>42058</v>
      </c>
      <c r="J840">
        <v>4833</v>
      </c>
      <c r="K840">
        <v>154.06</v>
      </c>
      <c r="L840">
        <v>90.93</v>
      </c>
      <c r="M840">
        <f t="shared" si="117"/>
        <v>744571.98</v>
      </c>
      <c r="N840">
        <f t="shared" si="118"/>
        <v>439464.69000000006</v>
      </c>
      <c r="O840">
        <f t="shared" si="119"/>
        <v>305107.28999999992</v>
      </c>
      <c r="P840" s="6">
        <f t="shared" si="120"/>
        <v>0.40977541217707375</v>
      </c>
      <c r="Q840">
        <f t="shared" si="121"/>
        <v>28</v>
      </c>
      <c r="R840">
        <f t="shared" si="122"/>
        <v>2015</v>
      </c>
      <c r="S840" t="str">
        <f t="shared" si="123"/>
        <v>January</v>
      </c>
      <c r="T840">
        <f t="shared" si="124"/>
        <v>1</v>
      </c>
      <c r="U840" t="str">
        <f t="shared" si="125"/>
        <v>Medium Profit</v>
      </c>
    </row>
    <row r="841" spans="1:21" x14ac:dyDescent="0.35">
      <c r="A841" s="5" t="s">
        <v>53</v>
      </c>
      <c r="B841" s="5" t="s">
        <v>131</v>
      </c>
      <c r="C841" t="s">
        <v>58</v>
      </c>
      <c r="D841" t="s">
        <v>1066</v>
      </c>
      <c r="E841" t="s">
        <v>23</v>
      </c>
      <c r="F841" t="s">
        <v>66</v>
      </c>
      <c r="G841" s="3">
        <v>40915</v>
      </c>
      <c r="H841">
        <v>364554107</v>
      </c>
      <c r="I841" s="3">
        <v>40926</v>
      </c>
      <c r="J841">
        <v>8516</v>
      </c>
      <c r="K841">
        <v>152.58000000000001</v>
      </c>
      <c r="L841">
        <v>97.44</v>
      </c>
      <c r="M841">
        <f t="shared" si="117"/>
        <v>1299371.28</v>
      </c>
      <c r="N841">
        <f t="shared" si="118"/>
        <v>829799.04</v>
      </c>
      <c r="O841">
        <f t="shared" si="119"/>
        <v>469572.24</v>
      </c>
      <c r="P841" s="6">
        <f t="shared" si="120"/>
        <v>0.36138419189933146</v>
      </c>
      <c r="Q841">
        <f t="shared" si="121"/>
        <v>11</v>
      </c>
      <c r="R841">
        <f t="shared" si="122"/>
        <v>2012</v>
      </c>
      <c r="S841" t="str">
        <f t="shared" si="123"/>
        <v>January</v>
      </c>
      <c r="T841">
        <f t="shared" si="124"/>
        <v>1</v>
      </c>
      <c r="U841" t="str">
        <f t="shared" si="125"/>
        <v>Medium Profit</v>
      </c>
    </row>
    <row r="842" spans="1:21" x14ac:dyDescent="0.35">
      <c r="A842" s="5" t="s">
        <v>42</v>
      </c>
      <c r="B842" s="5" t="s">
        <v>170</v>
      </c>
      <c r="C842" t="s">
        <v>21</v>
      </c>
      <c r="D842" t="s">
        <v>1067</v>
      </c>
      <c r="E842" t="s">
        <v>29</v>
      </c>
      <c r="F842" t="s">
        <v>41</v>
      </c>
      <c r="G842" s="3">
        <v>41203</v>
      </c>
      <c r="H842">
        <v>205300843</v>
      </c>
      <c r="I842" s="3">
        <v>41246</v>
      </c>
      <c r="J842">
        <v>1937</v>
      </c>
      <c r="K842">
        <v>437.2</v>
      </c>
      <c r="L842">
        <v>263.33</v>
      </c>
      <c r="M842">
        <f t="shared" si="117"/>
        <v>846856.4</v>
      </c>
      <c r="N842">
        <f t="shared" si="118"/>
        <v>510070.20999999996</v>
      </c>
      <c r="O842">
        <f t="shared" si="119"/>
        <v>336786.19000000006</v>
      </c>
      <c r="P842" s="6">
        <f t="shared" si="120"/>
        <v>0.3976898444647759</v>
      </c>
      <c r="Q842">
        <f t="shared" si="121"/>
        <v>43</v>
      </c>
      <c r="R842">
        <f t="shared" si="122"/>
        <v>2012</v>
      </c>
      <c r="S842" t="str">
        <f t="shared" si="123"/>
        <v>October</v>
      </c>
      <c r="T842">
        <f t="shared" si="124"/>
        <v>10</v>
      </c>
      <c r="U842" t="str">
        <f t="shared" si="125"/>
        <v>Medium Profit</v>
      </c>
    </row>
    <row r="843" spans="1:21" x14ac:dyDescent="0.35">
      <c r="A843" s="5" t="s">
        <v>19</v>
      </c>
      <c r="B843" s="5" t="s">
        <v>510</v>
      </c>
      <c r="C843" t="s">
        <v>60</v>
      </c>
      <c r="D843" t="s">
        <v>1068</v>
      </c>
      <c r="E843" t="s">
        <v>29</v>
      </c>
      <c r="F843" t="s">
        <v>24</v>
      </c>
      <c r="G843" s="3">
        <v>42263</v>
      </c>
      <c r="H843">
        <v>430967319</v>
      </c>
      <c r="I843" s="3">
        <v>42282</v>
      </c>
      <c r="J843">
        <v>1661</v>
      </c>
      <c r="K843">
        <v>668.27</v>
      </c>
      <c r="L843">
        <v>502.54</v>
      </c>
      <c r="M843">
        <f t="shared" si="117"/>
        <v>1109996.47</v>
      </c>
      <c r="N843">
        <f t="shared" si="118"/>
        <v>834718.94000000006</v>
      </c>
      <c r="O843">
        <f t="shared" si="119"/>
        <v>275277.52999999991</v>
      </c>
      <c r="P843" s="6">
        <f t="shared" si="120"/>
        <v>0.24799856345489091</v>
      </c>
      <c r="Q843">
        <f t="shared" si="121"/>
        <v>19</v>
      </c>
      <c r="R843">
        <f t="shared" si="122"/>
        <v>2015</v>
      </c>
      <c r="S843" t="str">
        <f t="shared" si="123"/>
        <v>September</v>
      </c>
      <c r="T843">
        <f t="shared" si="124"/>
        <v>9</v>
      </c>
      <c r="U843" t="str">
        <f t="shared" si="125"/>
        <v>Medium Profit</v>
      </c>
    </row>
    <row r="844" spans="1:21" x14ac:dyDescent="0.35">
      <c r="A844" s="5" t="s">
        <v>53</v>
      </c>
      <c r="B844" s="5" t="s">
        <v>131</v>
      </c>
      <c r="C844" t="s">
        <v>92</v>
      </c>
      <c r="D844" t="s">
        <v>1069</v>
      </c>
      <c r="E844" t="s">
        <v>23</v>
      </c>
      <c r="F844" t="s">
        <v>41</v>
      </c>
      <c r="G844" s="3">
        <v>41088</v>
      </c>
      <c r="H844">
        <v>827539861</v>
      </c>
      <c r="I844" s="3">
        <v>41091</v>
      </c>
      <c r="J844">
        <v>6289</v>
      </c>
      <c r="K844">
        <v>421.89</v>
      </c>
      <c r="L844">
        <v>364.69</v>
      </c>
      <c r="M844">
        <f t="shared" si="117"/>
        <v>2653266.21</v>
      </c>
      <c r="N844">
        <f t="shared" si="118"/>
        <v>2293535.41</v>
      </c>
      <c r="O844">
        <f t="shared" si="119"/>
        <v>359730.79999999981</v>
      </c>
      <c r="P844" s="6">
        <f t="shared" si="120"/>
        <v>0.13558036455000111</v>
      </c>
      <c r="Q844">
        <f t="shared" si="121"/>
        <v>3</v>
      </c>
      <c r="R844">
        <f t="shared" si="122"/>
        <v>2012</v>
      </c>
      <c r="S844" t="str">
        <f t="shared" si="123"/>
        <v>June</v>
      </c>
      <c r="T844">
        <f t="shared" si="124"/>
        <v>6</v>
      </c>
      <c r="U844" t="str">
        <f t="shared" si="125"/>
        <v>Medium Profit</v>
      </c>
    </row>
    <row r="845" spans="1:21" x14ac:dyDescent="0.35">
      <c r="A845" s="5" t="s">
        <v>50</v>
      </c>
      <c r="B845" s="5" t="s">
        <v>918</v>
      </c>
      <c r="C845" t="s">
        <v>58</v>
      </c>
      <c r="D845" t="s">
        <v>1070</v>
      </c>
      <c r="E845" t="s">
        <v>23</v>
      </c>
      <c r="F845" t="s">
        <v>41</v>
      </c>
      <c r="G845" s="3">
        <v>41975</v>
      </c>
      <c r="H845">
        <v>351317298</v>
      </c>
      <c r="I845" s="3">
        <v>42018</v>
      </c>
      <c r="J845">
        <v>1450</v>
      </c>
      <c r="K845">
        <v>152.58000000000001</v>
      </c>
      <c r="L845">
        <v>97.44</v>
      </c>
      <c r="M845">
        <f t="shared" si="117"/>
        <v>221241.00000000003</v>
      </c>
      <c r="N845">
        <f t="shared" si="118"/>
        <v>141288</v>
      </c>
      <c r="O845">
        <f t="shared" si="119"/>
        <v>79953.000000000029</v>
      </c>
      <c r="P845" s="6">
        <f t="shared" si="120"/>
        <v>0.36138419189933157</v>
      </c>
      <c r="Q845">
        <f t="shared" si="121"/>
        <v>43</v>
      </c>
      <c r="R845">
        <f t="shared" si="122"/>
        <v>2014</v>
      </c>
      <c r="S845" t="str">
        <f t="shared" si="123"/>
        <v>December</v>
      </c>
      <c r="T845">
        <f t="shared" si="124"/>
        <v>12</v>
      </c>
      <c r="U845" t="str">
        <f t="shared" si="125"/>
        <v>Low Profit</v>
      </c>
    </row>
    <row r="846" spans="1:21" x14ac:dyDescent="0.35">
      <c r="A846" s="5" t="s">
        <v>37</v>
      </c>
      <c r="B846" s="5" t="s">
        <v>157</v>
      </c>
      <c r="C846" t="s">
        <v>60</v>
      </c>
      <c r="D846" t="s">
        <v>1071</v>
      </c>
      <c r="E846" t="s">
        <v>23</v>
      </c>
      <c r="F846" t="s">
        <v>32</v>
      </c>
      <c r="G846" s="3">
        <v>41309</v>
      </c>
      <c r="H846">
        <v>278910958</v>
      </c>
      <c r="I846" s="3">
        <v>41309</v>
      </c>
      <c r="J846">
        <v>4805</v>
      </c>
      <c r="K846">
        <v>668.27</v>
      </c>
      <c r="L846">
        <v>502.54</v>
      </c>
      <c r="M846">
        <f t="shared" si="117"/>
        <v>3211037.35</v>
      </c>
      <c r="N846">
        <f t="shared" si="118"/>
        <v>2414704.7000000002</v>
      </c>
      <c r="O846">
        <f t="shared" si="119"/>
        <v>796332.64999999991</v>
      </c>
      <c r="P846" s="6">
        <f t="shared" si="120"/>
        <v>0.24799856345489096</v>
      </c>
      <c r="Q846">
        <f t="shared" si="121"/>
        <v>0</v>
      </c>
      <c r="R846">
        <f t="shared" si="122"/>
        <v>2013</v>
      </c>
      <c r="S846" t="str">
        <f t="shared" si="123"/>
        <v>February</v>
      </c>
      <c r="T846">
        <f t="shared" si="124"/>
        <v>2</v>
      </c>
      <c r="U846" t="str">
        <f t="shared" si="125"/>
        <v>High Profit</v>
      </c>
    </row>
    <row r="847" spans="1:21" x14ac:dyDescent="0.35">
      <c r="A847" s="5" t="s">
        <v>33</v>
      </c>
      <c r="B847" s="5" t="s">
        <v>448</v>
      </c>
      <c r="C847" t="s">
        <v>21</v>
      </c>
      <c r="D847" t="s">
        <v>1072</v>
      </c>
      <c r="E847" t="s">
        <v>23</v>
      </c>
      <c r="F847" t="s">
        <v>32</v>
      </c>
      <c r="G847" s="3">
        <v>42783</v>
      </c>
      <c r="H847">
        <v>157244670</v>
      </c>
      <c r="I847" s="3">
        <v>42809</v>
      </c>
      <c r="J847">
        <v>1047</v>
      </c>
      <c r="K847">
        <v>437.2</v>
      </c>
      <c r="L847">
        <v>263.33</v>
      </c>
      <c r="M847">
        <f t="shared" si="117"/>
        <v>457748.39999999997</v>
      </c>
      <c r="N847">
        <f t="shared" si="118"/>
        <v>275706.51</v>
      </c>
      <c r="O847">
        <f t="shared" si="119"/>
        <v>182041.88999999996</v>
      </c>
      <c r="P847" s="6">
        <f t="shared" si="120"/>
        <v>0.39768984446477579</v>
      </c>
      <c r="Q847">
        <f t="shared" si="121"/>
        <v>26</v>
      </c>
      <c r="R847">
        <f t="shared" si="122"/>
        <v>2017</v>
      </c>
      <c r="S847" t="str">
        <f t="shared" si="123"/>
        <v>February</v>
      </c>
      <c r="T847">
        <f t="shared" si="124"/>
        <v>2</v>
      </c>
      <c r="U847" t="str">
        <f t="shared" si="125"/>
        <v>Medium Profit</v>
      </c>
    </row>
    <row r="848" spans="1:21" x14ac:dyDescent="0.35">
      <c r="A848" s="5" t="s">
        <v>19</v>
      </c>
      <c r="B848" s="5" t="s">
        <v>310</v>
      </c>
      <c r="C848" t="s">
        <v>72</v>
      </c>
      <c r="D848" t="s">
        <v>1073</v>
      </c>
      <c r="E848" t="s">
        <v>29</v>
      </c>
      <c r="F848" t="s">
        <v>66</v>
      </c>
      <c r="G848" s="3">
        <v>42179</v>
      </c>
      <c r="H848">
        <v>953554761</v>
      </c>
      <c r="I848" s="3">
        <v>42213</v>
      </c>
      <c r="J848">
        <v>6899</v>
      </c>
      <c r="K848">
        <v>47.45</v>
      </c>
      <c r="L848">
        <v>31.79</v>
      </c>
      <c r="M848">
        <f t="shared" si="117"/>
        <v>327357.55000000005</v>
      </c>
      <c r="N848">
        <f t="shared" si="118"/>
        <v>219319.21</v>
      </c>
      <c r="O848">
        <f t="shared" si="119"/>
        <v>108038.34000000005</v>
      </c>
      <c r="P848" s="6">
        <f t="shared" si="120"/>
        <v>0.33003161222339317</v>
      </c>
      <c r="Q848">
        <f t="shared" si="121"/>
        <v>34</v>
      </c>
      <c r="R848">
        <f t="shared" si="122"/>
        <v>2015</v>
      </c>
      <c r="S848" t="str">
        <f t="shared" si="123"/>
        <v>June</v>
      </c>
      <c r="T848">
        <f t="shared" si="124"/>
        <v>6</v>
      </c>
      <c r="U848" t="str">
        <f t="shared" si="125"/>
        <v>Medium Profit</v>
      </c>
    </row>
    <row r="849" spans="1:21" x14ac:dyDescent="0.35">
      <c r="A849" s="5" t="s">
        <v>37</v>
      </c>
      <c r="B849" s="5" t="s">
        <v>395</v>
      </c>
      <c r="C849" t="s">
        <v>35</v>
      </c>
      <c r="D849" t="s">
        <v>1074</v>
      </c>
      <c r="E849" t="s">
        <v>29</v>
      </c>
      <c r="F849" t="s">
        <v>66</v>
      </c>
      <c r="G849" s="3">
        <v>42581</v>
      </c>
      <c r="H849">
        <v>105390059</v>
      </c>
      <c r="I849" s="3">
        <v>42607</v>
      </c>
      <c r="J849">
        <v>6115</v>
      </c>
      <c r="K849">
        <v>205.7</v>
      </c>
      <c r="L849">
        <v>117.11</v>
      </c>
      <c r="M849">
        <f t="shared" si="117"/>
        <v>1257855.5</v>
      </c>
      <c r="N849">
        <f t="shared" si="118"/>
        <v>716127.65</v>
      </c>
      <c r="O849">
        <f t="shared" si="119"/>
        <v>541727.85</v>
      </c>
      <c r="P849" s="6">
        <f t="shared" si="120"/>
        <v>0.43067574137092851</v>
      </c>
      <c r="Q849">
        <f t="shared" si="121"/>
        <v>26</v>
      </c>
      <c r="R849">
        <f t="shared" si="122"/>
        <v>2016</v>
      </c>
      <c r="S849" t="str">
        <f t="shared" si="123"/>
        <v>July</v>
      </c>
      <c r="T849">
        <f t="shared" si="124"/>
        <v>7</v>
      </c>
      <c r="U849" t="str">
        <f t="shared" si="125"/>
        <v>High Profit</v>
      </c>
    </row>
    <row r="850" spans="1:21" x14ac:dyDescent="0.35">
      <c r="A850" s="5" t="s">
        <v>33</v>
      </c>
      <c r="B850" s="5" t="s">
        <v>540</v>
      </c>
      <c r="C850" t="s">
        <v>21</v>
      </c>
      <c r="D850" t="s">
        <v>1075</v>
      </c>
      <c r="E850" t="s">
        <v>23</v>
      </c>
      <c r="F850" t="s">
        <v>66</v>
      </c>
      <c r="G850" s="3">
        <v>41935</v>
      </c>
      <c r="H850">
        <v>970611894</v>
      </c>
      <c r="I850" s="3">
        <v>41953</v>
      </c>
      <c r="J850">
        <v>4483</v>
      </c>
      <c r="K850">
        <v>437.2</v>
      </c>
      <c r="L850">
        <v>263.33</v>
      </c>
      <c r="M850">
        <f t="shared" si="117"/>
        <v>1959967.5999999999</v>
      </c>
      <c r="N850">
        <f t="shared" si="118"/>
        <v>1180508.3899999999</v>
      </c>
      <c r="O850">
        <f t="shared" si="119"/>
        <v>779459.21</v>
      </c>
      <c r="P850" s="6">
        <f t="shared" si="120"/>
        <v>0.39768984446477584</v>
      </c>
      <c r="Q850">
        <f t="shared" si="121"/>
        <v>18</v>
      </c>
      <c r="R850">
        <f t="shared" si="122"/>
        <v>2014</v>
      </c>
      <c r="S850" t="str">
        <f t="shared" si="123"/>
        <v>October</v>
      </c>
      <c r="T850">
        <f t="shared" si="124"/>
        <v>10</v>
      </c>
      <c r="U850" t="str">
        <f t="shared" si="125"/>
        <v>High Profit</v>
      </c>
    </row>
    <row r="851" spans="1:21" x14ac:dyDescent="0.35">
      <c r="A851" s="5" t="s">
        <v>33</v>
      </c>
      <c r="B851" s="5" t="s">
        <v>141</v>
      </c>
      <c r="C851" t="s">
        <v>30</v>
      </c>
      <c r="D851" t="s">
        <v>1076</v>
      </c>
      <c r="E851" t="s">
        <v>23</v>
      </c>
      <c r="F851" t="s">
        <v>24</v>
      </c>
      <c r="G851" s="3">
        <v>42720</v>
      </c>
      <c r="H851">
        <v>677394092</v>
      </c>
      <c r="I851" s="3">
        <v>42733</v>
      </c>
      <c r="J851">
        <v>4820</v>
      </c>
      <c r="K851">
        <v>255.28</v>
      </c>
      <c r="L851">
        <v>159.41999999999999</v>
      </c>
      <c r="M851">
        <f t="shared" si="117"/>
        <v>1230449.6000000001</v>
      </c>
      <c r="N851">
        <f t="shared" si="118"/>
        <v>768404.39999999991</v>
      </c>
      <c r="O851">
        <f t="shared" si="119"/>
        <v>462045.20000000019</v>
      </c>
      <c r="P851" s="6">
        <f t="shared" si="120"/>
        <v>0.37550924475086195</v>
      </c>
      <c r="Q851">
        <f t="shared" si="121"/>
        <v>13</v>
      </c>
      <c r="R851">
        <f t="shared" si="122"/>
        <v>2016</v>
      </c>
      <c r="S851" t="str">
        <f t="shared" si="123"/>
        <v>December</v>
      </c>
      <c r="T851">
        <f t="shared" si="124"/>
        <v>12</v>
      </c>
      <c r="U851" t="str">
        <f t="shared" si="125"/>
        <v>Medium Profit</v>
      </c>
    </row>
    <row r="852" spans="1:21" x14ac:dyDescent="0.35">
      <c r="A852" s="5" t="s">
        <v>42</v>
      </c>
      <c r="B852" s="5" t="s">
        <v>257</v>
      </c>
      <c r="C852" t="s">
        <v>30</v>
      </c>
      <c r="D852" t="s">
        <v>1077</v>
      </c>
      <c r="E852" t="s">
        <v>29</v>
      </c>
      <c r="F852" t="s">
        <v>66</v>
      </c>
      <c r="G852" s="3">
        <v>42275</v>
      </c>
      <c r="H852">
        <v>474222981</v>
      </c>
      <c r="I852" s="3">
        <v>42303</v>
      </c>
      <c r="J852">
        <v>1973</v>
      </c>
      <c r="K852">
        <v>255.28</v>
      </c>
      <c r="L852">
        <v>159.41999999999999</v>
      </c>
      <c r="M852">
        <f t="shared" si="117"/>
        <v>503667.44</v>
      </c>
      <c r="N852">
        <f t="shared" si="118"/>
        <v>314535.65999999997</v>
      </c>
      <c r="O852">
        <f t="shared" si="119"/>
        <v>189131.78000000003</v>
      </c>
      <c r="P852" s="6">
        <f t="shared" si="120"/>
        <v>0.37550924475086184</v>
      </c>
      <c r="Q852">
        <f t="shared" si="121"/>
        <v>28</v>
      </c>
      <c r="R852">
        <f t="shared" si="122"/>
        <v>2015</v>
      </c>
      <c r="S852" t="str">
        <f t="shared" si="123"/>
        <v>September</v>
      </c>
      <c r="T852">
        <f t="shared" si="124"/>
        <v>9</v>
      </c>
      <c r="U852" t="str">
        <f t="shared" si="125"/>
        <v>Medium Profit</v>
      </c>
    </row>
    <row r="853" spans="1:21" x14ac:dyDescent="0.35">
      <c r="A853" s="5" t="s">
        <v>37</v>
      </c>
      <c r="B853" s="5" t="s">
        <v>216</v>
      </c>
      <c r="C853" t="s">
        <v>58</v>
      </c>
      <c r="D853" t="s">
        <v>1078</v>
      </c>
      <c r="E853" t="s">
        <v>29</v>
      </c>
      <c r="F853" t="s">
        <v>66</v>
      </c>
      <c r="G853" s="3">
        <v>42476</v>
      </c>
      <c r="H853">
        <v>779897391</v>
      </c>
      <c r="I853" s="3">
        <v>42495</v>
      </c>
      <c r="J853">
        <v>7824</v>
      </c>
      <c r="K853">
        <v>152.58000000000001</v>
      </c>
      <c r="L853">
        <v>97.44</v>
      </c>
      <c r="M853">
        <f t="shared" si="117"/>
        <v>1193785.9200000002</v>
      </c>
      <c r="N853">
        <f t="shared" si="118"/>
        <v>762370.55999999994</v>
      </c>
      <c r="O853">
        <f t="shared" si="119"/>
        <v>431415.36000000022</v>
      </c>
      <c r="P853" s="6">
        <f t="shared" si="120"/>
        <v>0.36138419189933163</v>
      </c>
      <c r="Q853">
        <f t="shared" si="121"/>
        <v>19</v>
      </c>
      <c r="R853">
        <f t="shared" si="122"/>
        <v>2016</v>
      </c>
      <c r="S853" t="str">
        <f t="shared" si="123"/>
        <v>April</v>
      </c>
      <c r="T853">
        <f t="shared" si="124"/>
        <v>4</v>
      </c>
      <c r="U853" t="str">
        <f t="shared" si="125"/>
        <v>Medium Profit</v>
      </c>
    </row>
    <row r="854" spans="1:21" x14ac:dyDescent="0.35">
      <c r="A854" s="5" t="s">
        <v>42</v>
      </c>
      <c r="B854" s="5" t="s">
        <v>273</v>
      </c>
      <c r="C854" t="s">
        <v>58</v>
      </c>
      <c r="D854" t="s">
        <v>1079</v>
      </c>
      <c r="E854" t="s">
        <v>23</v>
      </c>
      <c r="F854" t="s">
        <v>66</v>
      </c>
      <c r="G854" s="3">
        <v>42821</v>
      </c>
      <c r="H854">
        <v>733528649</v>
      </c>
      <c r="I854" s="3">
        <v>42824</v>
      </c>
      <c r="J854">
        <v>6283</v>
      </c>
      <c r="K854">
        <v>152.58000000000001</v>
      </c>
      <c r="L854">
        <v>97.44</v>
      </c>
      <c r="M854">
        <f t="shared" si="117"/>
        <v>958660.14000000013</v>
      </c>
      <c r="N854">
        <f t="shared" si="118"/>
        <v>612215.52</v>
      </c>
      <c r="O854">
        <f t="shared" si="119"/>
        <v>346444.62000000011</v>
      </c>
      <c r="P854" s="6">
        <f t="shared" si="120"/>
        <v>0.36138419189933157</v>
      </c>
      <c r="Q854">
        <f t="shared" si="121"/>
        <v>3</v>
      </c>
      <c r="R854">
        <f t="shared" si="122"/>
        <v>2017</v>
      </c>
      <c r="S854" t="str">
        <f t="shared" si="123"/>
        <v>March</v>
      </c>
      <c r="T854">
        <f t="shared" si="124"/>
        <v>3</v>
      </c>
      <c r="U854" t="str">
        <f t="shared" si="125"/>
        <v>Medium Profit</v>
      </c>
    </row>
    <row r="855" spans="1:21" x14ac:dyDescent="0.35">
      <c r="A855" s="5" t="s">
        <v>37</v>
      </c>
      <c r="B855" s="5" t="s">
        <v>38</v>
      </c>
      <c r="C855" t="s">
        <v>69</v>
      </c>
      <c r="D855" t="s">
        <v>1080</v>
      </c>
      <c r="E855" t="s">
        <v>29</v>
      </c>
      <c r="F855" t="s">
        <v>41</v>
      </c>
      <c r="G855" s="3">
        <v>41815</v>
      </c>
      <c r="H855">
        <v>444540584</v>
      </c>
      <c r="I855" s="3">
        <v>41853</v>
      </c>
      <c r="J855">
        <v>8292</v>
      </c>
      <c r="K855">
        <v>651.21</v>
      </c>
      <c r="L855">
        <v>524.96</v>
      </c>
      <c r="M855">
        <f t="shared" si="117"/>
        <v>5399833.3200000003</v>
      </c>
      <c r="N855">
        <f t="shared" si="118"/>
        <v>4352968.32</v>
      </c>
      <c r="O855">
        <f t="shared" si="119"/>
        <v>1046865</v>
      </c>
      <c r="P855" s="6">
        <f t="shared" si="120"/>
        <v>0.19386987300563566</v>
      </c>
      <c r="Q855">
        <f t="shared" si="121"/>
        <v>38</v>
      </c>
      <c r="R855">
        <f t="shared" si="122"/>
        <v>2014</v>
      </c>
      <c r="S855" t="str">
        <f t="shared" si="123"/>
        <v>June</v>
      </c>
      <c r="T855">
        <f t="shared" si="124"/>
        <v>6</v>
      </c>
      <c r="U855" t="str">
        <f t="shared" si="125"/>
        <v>High Profit</v>
      </c>
    </row>
    <row r="856" spans="1:21" x14ac:dyDescent="0.35">
      <c r="A856" s="5" t="s">
        <v>37</v>
      </c>
      <c r="B856" s="5" t="s">
        <v>302</v>
      </c>
      <c r="C856" t="s">
        <v>48</v>
      </c>
      <c r="D856" t="s">
        <v>1081</v>
      </c>
      <c r="E856" t="s">
        <v>29</v>
      </c>
      <c r="F856" t="s">
        <v>41</v>
      </c>
      <c r="G856" s="3">
        <v>41119</v>
      </c>
      <c r="H856">
        <v>542669522</v>
      </c>
      <c r="I856" s="3">
        <v>41163</v>
      </c>
      <c r="J856">
        <v>6826</v>
      </c>
      <c r="K856">
        <v>109.28</v>
      </c>
      <c r="L856">
        <v>35.840000000000003</v>
      </c>
      <c r="M856">
        <f t="shared" si="117"/>
        <v>745945.28</v>
      </c>
      <c r="N856">
        <f t="shared" si="118"/>
        <v>244643.84000000003</v>
      </c>
      <c r="O856">
        <f t="shared" si="119"/>
        <v>501301.44</v>
      </c>
      <c r="P856" s="6">
        <f t="shared" si="120"/>
        <v>0.67203513909224011</v>
      </c>
      <c r="Q856">
        <f t="shared" si="121"/>
        <v>44</v>
      </c>
      <c r="R856">
        <f t="shared" si="122"/>
        <v>2012</v>
      </c>
      <c r="S856" t="str">
        <f t="shared" si="123"/>
        <v>July</v>
      </c>
      <c r="T856">
        <f t="shared" si="124"/>
        <v>7</v>
      </c>
      <c r="U856" t="str">
        <f t="shared" si="125"/>
        <v>High Profit</v>
      </c>
    </row>
    <row r="857" spans="1:21" x14ac:dyDescent="0.35">
      <c r="A857" s="5" t="s">
        <v>33</v>
      </c>
      <c r="B857" s="5" t="s">
        <v>202</v>
      </c>
      <c r="C857" t="s">
        <v>39</v>
      </c>
      <c r="D857" t="s">
        <v>1082</v>
      </c>
      <c r="E857" t="s">
        <v>23</v>
      </c>
      <c r="F857" t="s">
        <v>66</v>
      </c>
      <c r="G857" s="3">
        <v>41398</v>
      </c>
      <c r="H857">
        <v>827964293</v>
      </c>
      <c r="I857" s="3">
        <v>41426</v>
      </c>
      <c r="J857">
        <v>1888</v>
      </c>
      <c r="K857">
        <v>9.33</v>
      </c>
      <c r="L857">
        <v>6.92</v>
      </c>
      <c r="M857">
        <f t="shared" si="117"/>
        <v>17615.04</v>
      </c>
      <c r="N857">
        <f t="shared" si="118"/>
        <v>13064.96</v>
      </c>
      <c r="O857">
        <f t="shared" si="119"/>
        <v>4550.0800000000017</v>
      </c>
      <c r="P857" s="6">
        <f t="shared" si="120"/>
        <v>0.25830653804930342</v>
      </c>
      <c r="Q857">
        <f t="shared" si="121"/>
        <v>28</v>
      </c>
      <c r="R857">
        <f t="shared" si="122"/>
        <v>2013</v>
      </c>
      <c r="S857" t="str">
        <f t="shared" si="123"/>
        <v>May</v>
      </c>
      <c r="T857">
        <f t="shared" si="124"/>
        <v>5</v>
      </c>
      <c r="U857" t="str">
        <f t="shared" si="125"/>
        <v>Low Profit</v>
      </c>
    </row>
    <row r="858" spans="1:21" x14ac:dyDescent="0.35">
      <c r="A858" s="5" t="s">
        <v>42</v>
      </c>
      <c r="B858" s="5" t="s">
        <v>1083</v>
      </c>
      <c r="C858" t="s">
        <v>58</v>
      </c>
      <c r="D858" t="s">
        <v>1084</v>
      </c>
      <c r="E858" t="s">
        <v>23</v>
      </c>
      <c r="F858" t="s">
        <v>24</v>
      </c>
      <c r="G858" s="3">
        <v>40941</v>
      </c>
      <c r="H858">
        <v>720786225</v>
      </c>
      <c r="I858" s="3">
        <v>40954</v>
      </c>
      <c r="J858">
        <v>5516</v>
      </c>
      <c r="K858">
        <v>152.58000000000001</v>
      </c>
      <c r="L858">
        <v>97.44</v>
      </c>
      <c r="M858">
        <f t="shared" si="117"/>
        <v>841631.28</v>
      </c>
      <c r="N858">
        <f t="shared" si="118"/>
        <v>537479.04</v>
      </c>
      <c r="O858">
        <f t="shared" si="119"/>
        <v>304152.24</v>
      </c>
      <c r="P858" s="6">
        <f t="shared" si="120"/>
        <v>0.36138419189933146</v>
      </c>
      <c r="Q858">
        <f t="shared" si="121"/>
        <v>13</v>
      </c>
      <c r="R858">
        <f t="shared" si="122"/>
        <v>2012</v>
      </c>
      <c r="S858" t="str">
        <f t="shared" si="123"/>
        <v>February</v>
      </c>
      <c r="T858">
        <f t="shared" si="124"/>
        <v>2</v>
      </c>
      <c r="U858" t="str">
        <f t="shared" si="125"/>
        <v>Medium Profit</v>
      </c>
    </row>
    <row r="859" spans="1:21" x14ac:dyDescent="0.35">
      <c r="A859" s="5" t="s">
        <v>42</v>
      </c>
      <c r="B859" s="5" t="s">
        <v>270</v>
      </c>
      <c r="C859" t="s">
        <v>60</v>
      </c>
      <c r="D859" t="s">
        <v>1085</v>
      </c>
      <c r="E859" t="s">
        <v>23</v>
      </c>
      <c r="F859" t="s">
        <v>41</v>
      </c>
      <c r="G859" s="3">
        <v>42575</v>
      </c>
      <c r="H859">
        <v>611809146</v>
      </c>
      <c r="I859" s="3">
        <v>42583</v>
      </c>
      <c r="J859">
        <v>6777</v>
      </c>
      <c r="K859">
        <v>668.27</v>
      </c>
      <c r="L859">
        <v>502.54</v>
      </c>
      <c r="M859">
        <f t="shared" si="117"/>
        <v>4528865.79</v>
      </c>
      <c r="N859">
        <f t="shared" si="118"/>
        <v>3405713.58</v>
      </c>
      <c r="O859">
        <f t="shared" si="119"/>
        <v>1123152.21</v>
      </c>
      <c r="P859" s="6">
        <f t="shared" si="120"/>
        <v>0.24799856345489096</v>
      </c>
      <c r="Q859">
        <f t="shared" si="121"/>
        <v>8</v>
      </c>
      <c r="R859">
        <f t="shared" si="122"/>
        <v>2016</v>
      </c>
      <c r="S859" t="str">
        <f t="shared" si="123"/>
        <v>July</v>
      </c>
      <c r="T859">
        <f t="shared" si="124"/>
        <v>7</v>
      </c>
      <c r="U859" t="str">
        <f t="shared" si="125"/>
        <v>High Profit</v>
      </c>
    </row>
    <row r="860" spans="1:21" x14ac:dyDescent="0.35">
      <c r="A860" s="5" t="s">
        <v>37</v>
      </c>
      <c r="B860" s="5" t="s">
        <v>429</v>
      </c>
      <c r="C860" t="s">
        <v>83</v>
      </c>
      <c r="D860" t="s">
        <v>1086</v>
      </c>
      <c r="E860" t="s">
        <v>29</v>
      </c>
      <c r="F860" t="s">
        <v>24</v>
      </c>
      <c r="G860" s="3">
        <v>41217</v>
      </c>
      <c r="H860">
        <v>512019383</v>
      </c>
      <c r="I860" s="3">
        <v>41255</v>
      </c>
      <c r="J860">
        <v>6769</v>
      </c>
      <c r="K860">
        <v>81.73</v>
      </c>
      <c r="L860">
        <v>56.67</v>
      </c>
      <c r="M860">
        <f t="shared" si="117"/>
        <v>553230.37</v>
      </c>
      <c r="N860">
        <f t="shared" si="118"/>
        <v>383599.23000000004</v>
      </c>
      <c r="O860">
        <f t="shared" si="119"/>
        <v>169631.13999999996</v>
      </c>
      <c r="P860" s="6">
        <f t="shared" si="120"/>
        <v>0.30661935641747207</v>
      </c>
      <c r="Q860">
        <f t="shared" si="121"/>
        <v>38</v>
      </c>
      <c r="R860">
        <f t="shared" si="122"/>
        <v>2012</v>
      </c>
      <c r="S860" t="str">
        <f t="shared" si="123"/>
        <v>November</v>
      </c>
      <c r="T860">
        <f t="shared" si="124"/>
        <v>11</v>
      </c>
      <c r="U860" t="str">
        <f t="shared" si="125"/>
        <v>Medium Profit</v>
      </c>
    </row>
    <row r="861" spans="1:21" x14ac:dyDescent="0.35">
      <c r="A861" s="5" t="s">
        <v>19</v>
      </c>
      <c r="B861" s="5" t="s">
        <v>310</v>
      </c>
      <c r="C861" t="s">
        <v>83</v>
      </c>
      <c r="D861" t="s">
        <v>1087</v>
      </c>
      <c r="E861" t="s">
        <v>29</v>
      </c>
      <c r="F861" t="s">
        <v>32</v>
      </c>
      <c r="G861" s="3">
        <v>41856</v>
      </c>
      <c r="H861">
        <v>502715766</v>
      </c>
      <c r="I861" s="3">
        <v>41868</v>
      </c>
      <c r="J861">
        <v>3621</v>
      </c>
      <c r="K861">
        <v>81.73</v>
      </c>
      <c r="L861">
        <v>56.67</v>
      </c>
      <c r="M861">
        <f t="shared" si="117"/>
        <v>295944.33</v>
      </c>
      <c r="N861">
        <f t="shared" si="118"/>
        <v>205202.07</v>
      </c>
      <c r="O861">
        <f t="shared" si="119"/>
        <v>90742.260000000009</v>
      </c>
      <c r="P861" s="6">
        <f t="shared" si="120"/>
        <v>0.30661935641747218</v>
      </c>
      <c r="Q861">
        <f t="shared" si="121"/>
        <v>12</v>
      </c>
      <c r="R861">
        <f t="shared" si="122"/>
        <v>2014</v>
      </c>
      <c r="S861" t="str">
        <f t="shared" si="123"/>
        <v>August</v>
      </c>
      <c r="T861">
        <f t="shared" si="124"/>
        <v>8</v>
      </c>
      <c r="U861" t="str">
        <f t="shared" si="125"/>
        <v>Low Profit</v>
      </c>
    </row>
    <row r="862" spans="1:21" x14ac:dyDescent="0.35">
      <c r="A862" s="5" t="s">
        <v>19</v>
      </c>
      <c r="B862" s="5" t="s">
        <v>221</v>
      </c>
      <c r="C862" t="s">
        <v>69</v>
      </c>
      <c r="D862" t="s">
        <v>1088</v>
      </c>
      <c r="E862" t="s">
        <v>23</v>
      </c>
      <c r="F862" t="s">
        <v>24</v>
      </c>
      <c r="G862" s="3">
        <v>41569</v>
      </c>
      <c r="H862">
        <v>285509622</v>
      </c>
      <c r="I862" s="3">
        <v>41575</v>
      </c>
      <c r="J862">
        <v>7497</v>
      </c>
      <c r="K862">
        <v>651.21</v>
      </c>
      <c r="L862">
        <v>524.96</v>
      </c>
      <c r="M862">
        <f t="shared" si="117"/>
        <v>4882121.37</v>
      </c>
      <c r="N862">
        <f t="shared" si="118"/>
        <v>3935625.12</v>
      </c>
      <c r="O862">
        <f t="shared" si="119"/>
        <v>946496.25</v>
      </c>
      <c r="P862" s="6">
        <f t="shared" si="120"/>
        <v>0.19386987300563566</v>
      </c>
      <c r="Q862">
        <f t="shared" si="121"/>
        <v>6</v>
      </c>
      <c r="R862">
        <f t="shared" si="122"/>
        <v>2013</v>
      </c>
      <c r="S862" t="str">
        <f t="shared" si="123"/>
        <v>October</v>
      </c>
      <c r="T862">
        <f t="shared" si="124"/>
        <v>10</v>
      </c>
      <c r="U862" t="str">
        <f t="shared" si="125"/>
        <v>High Profit</v>
      </c>
    </row>
    <row r="863" spans="1:21" x14ac:dyDescent="0.35">
      <c r="A863" s="5" t="s">
        <v>42</v>
      </c>
      <c r="B863" s="5" t="s">
        <v>47</v>
      </c>
      <c r="C863" t="s">
        <v>72</v>
      </c>
      <c r="D863" t="s">
        <v>1089</v>
      </c>
      <c r="E863" t="s">
        <v>23</v>
      </c>
      <c r="F863" t="s">
        <v>66</v>
      </c>
      <c r="G863" s="3">
        <v>41974</v>
      </c>
      <c r="H863">
        <v>532324779</v>
      </c>
      <c r="I863" s="3">
        <v>42007</v>
      </c>
      <c r="J863">
        <v>5586</v>
      </c>
      <c r="K863">
        <v>47.45</v>
      </c>
      <c r="L863">
        <v>31.79</v>
      </c>
      <c r="M863">
        <f t="shared" si="117"/>
        <v>265055.7</v>
      </c>
      <c r="N863">
        <f t="shared" si="118"/>
        <v>177578.94</v>
      </c>
      <c r="O863">
        <f t="shared" si="119"/>
        <v>87476.760000000009</v>
      </c>
      <c r="P863" s="6">
        <f t="shared" si="120"/>
        <v>0.33003161222339306</v>
      </c>
      <c r="Q863">
        <f t="shared" si="121"/>
        <v>33</v>
      </c>
      <c r="R863">
        <f t="shared" si="122"/>
        <v>2014</v>
      </c>
      <c r="S863" t="str">
        <f t="shared" si="123"/>
        <v>December</v>
      </c>
      <c r="T863">
        <f t="shared" si="124"/>
        <v>12</v>
      </c>
      <c r="U863" t="str">
        <f t="shared" si="125"/>
        <v>Low Profit</v>
      </c>
    </row>
    <row r="864" spans="1:21" x14ac:dyDescent="0.35">
      <c r="A864" s="5" t="s">
        <v>19</v>
      </c>
      <c r="B864" s="5" t="s">
        <v>182</v>
      </c>
      <c r="C864" t="s">
        <v>83</v>
      </c>
      <c r="D864" t="s">
        <v>1090</v>
      </c>
      <c r="E864" t="s">
        <v>23</v>
      </c>
      <c r="F864" t="s">
        <v>41</v>
      </c>
      <c r="G864" s="3">
        <v>42310</v>
      </c>
      <c r="H864">
        <v>635397565</v>
      </c>
      <c r="I864" s="3">
        <v>42329</v>
      </c>
      <c r="J864">
        <v>7114</v>
      </c>
      <c r="K864">
        <v>81.73</v>
      </c>
      <c r="L864">
        <v>56.67</v>
      </c>
      <c r="M864">
        <f t="shared" si="117"/>
        <v>581427.22</v>
      </c>
      <c r="N864">
        <f t="shared" si="118"/>
        <v>403150.38</v>
      </c>
      <c r="O864">
        <f t="shared" si="119"/>
        <v>178276.83999999997</v>
      </c>
      <c r="P864" s="6">
        <f t="shared" si="120"/>
        <v>0.30661935641747212</v>
      </c>
      <c r="Q864">
        <f t="shared" si="121"/>
        <v>19</v>
      </c>
      <c r="R864">
        <f t="shared" si="122"/>
        <v>2015</v>
      </c>
      <c r="S864" t="str">
        <f t="shared" si="123"/>
        <v>November</v>
      </c>
      <c r="T864">
        <f t="shared" si="124"/>
        <v>11</v>
      </c>
      <c r="U864" t="str">
        <f t="shared" si="125"/>
        <v>Medium Profit</v>
      </c>
    </row>
    <row r="865" spans="1:21" x14ac:dyDescent="0.35">
      <c r="A865" s="5" t="s">
        <v>42</v>
      </c>
      <c r="B865" s="5" t="s">
        <v>270</v>
      </c>
      <c r="C865" t="s">
        <v>35</v>
      </c>
      <c r="D865" t="s">
        <v>1091</v>
      </c>
      <c r="E865" t="s">
        <v>23</v>
      </c>
      <c r="F865" t="s">
        <v>24</v>
      </c>
      <c r="G865" s="3">
        <v>40823</v>
      </c>
      <c r="H865">
        <v>957276809</v>
      </c>
      <c r="I865" s="3">
        <v>40851</v>
      </c>
      <c r="J865">
        <v>8335</v>
      </c>
      <c r="K865">
        <v>205.7</v>
      </c>
      <c r="L865">
        <v>117.11</v>
      </c>
      <c r="M865">
        <f t="shared" si="117"/>
        <v>1714509.5</v>
      </c>
      <c r="N865">
        <f t="shared" si="118"/>
        <v>976111.85</v>
      </c>
      <c r="O865">
        <f t="shared" si="119"/>
        <v>738397.65</v>
      </c>
      <c r="P865" s="6">
        <f t="shared" si="120"/>
        <v>0.43067574137092857</v>
      </c>
      <c r="Q865">
        <f t="shared" si="121"/>
        <v>28</v>
      </c>
      <c r="R865">
        <f t="shared" si="122"/>
        <v>2011</v>
      </c>
      <c r="S865" t="str">
        <f t="shared" si="123"/>
        <v>October</v>
      </c>
      <c r="T865">
        <f t="shared" si="124"/>
        <v>10</v>
      </c>
      <c r="U865" t="str">
        <f t="shared" si="125"/>
        <v>High Profit</v>
      </c>
    </row>
    <row r="866" spans="1:21" x14ac:dyDescent="0.35">
      <c r="A866" s="5" t="s">
        <v>42</v>
      </c>
      <c r="B866" s="5" t="s">
        <v>145</v>
      </c>
      <c r="C866" t="s">
        <v>58</v>
      </c>
      <c r="D866" t="s">
        <v>1092</v>
      </c>
      <c r="E866" t="s">
        <v>29</v>
      </c>
      <c r="F866" t="s">
        <v>66</v>
      </c>
      <c r="G866" s="3">
        <v>41679</v>
      </c>
      <c r="H866">
        <v>580823838</v>
      </c>
      <c r="I866" s="3">
        <v>41719</v>
      </c>
      <c r="J866">
        <v>7536</v>
      </c>
      <c r="K866">
        <v>152.58000000000001</v>
      </c>
      <c r="L866">
        <v>97.44</v>
      </c>
      <c r="M866">
        <f t="shared" si="117"/>
        <v>1149842.8800000001</v>
      </c>
      <c r="N866">
        <f t="shared" si="118"/>
        <v>734307.83999999997</v>
      </c>
      <c r="O866">
        <f t="shared" si="119"/>
        <v>415535.04000000015</v>
      </c>
      <c r="P866" s="6">
        <f t="shared" si="120"/>
        <v>0.36138419189933157</v>
      </c>
      <c r="Q866">
        <f t="shared" si="121"/>
        <v>40</v>
      </c>
      <c r="R866">
        <f t="shared" si="122"/>
        <v>2014</v>
      </c>
      <c r="S866" t="str">
        <f t="shared" si="123"/>
        <v>February</v>
      </c>
      <c r="T866">
        <f t="shared" si="124"/>
        <v>2</v>
      </c>
      <c r="U866" t="str">
        <f t="shared" si="125"/>
        <v>Medium Profit</v>
      </c>
    </row>
    <row r="867" spans="1:21" x14ac:dyDescent="0.35">
      <c r="A867" s="5" t="s">
        <v>42</v>
      </c>
      <c r="B867" s="5" t="s">
        <v>1083</v>
      </c>
      <c r="C867" t="s">
        <v>69</v>
      </c>
      <c r="D867" t="s">
        <v>1093</v>
      </c>
      <c r="E867" t="s">
        <v>23</v>
      </c>
      <c r="F867" t="s">
        <v>41</v>
      </c>
      <c r="G867" s="3">
        <v>42519</v>
      </c>
      <c r="H867">
        <v>459212481</v>
      </c>
      <c r="I867" s="3">
        <v>42537</v>
      </c>
      <c r="J867">
        <v>33</v>
      </c>
      <c r="K867">
        <v>651.21</v>
      </c>
      <c r="L867">
        <v>524.96</v>
      </c>
      <c r="M867">
        <f t="shared" si="117"/>
        <v>21489.93</v>
      </c>
      <c r="N867">
        <f t="shared" si="118"/>
        <v>17323.68</v>
      </c>
      <c r="O867">
        <f t="shared" si="119"/>
        <v>4166.25</v>
      </c>
      <c r="P867" s="6">
        <f t="shared" si="120"/>
        <v>0.19386987300563566</v>
      </c>
      <c r="Q867">
        <f t="shared" si="121"/>
        <v>18</v>
      </c>
      <c r="R867">
        <f t="shared" si="122"/>
        <v>2016</v>
      </c>
      <c r="S867" t="str">
        <f t="shared" si="123"/>
        <v>May</v>
      </c>
      <c r="T867">
        <f t="shared" si="124"/>
        <v>5</v>
      </c>
      <c r="U867" t="str">
        <f t="shared" si="125"/>
        <v>Low Profit</v>
      </c>
    </row>
    <row r="868" spans="1:21" x14ac:dyDescent="0.35">
      <c r="A868" s="5" t="s">
        <v>19</v>
      </c>
      <c r="B868" s="5" t="s">
        <v>82</v>
      </c>
      <c r="C868" t="s">
        <v>30</v>
      </c>
      <c r="D868" t="s">
        <v>1094</v>
      </c>
      <c r="E868" t="s">
        <v>29</v>
      </c>
      <c r="F868" t="s">
        <v>66</v>
      </c>
      <c r="G868" s="3">
        <v>41372</v>
      </c>
      <c r="H868">
        <v>265929067</v>
      </c>
      <c r="I868" s="3">
        <v>41417</v>
      </c>
      <c r="J868">
        <v>3175</v>
      </c>
      <c r="K868">
        <v>255.28</v>
      </c>
      <c r="L868">
        <v>159.41999999999999</v>
      </c>
      <c r="M868">
        <f t="shared" si="117"/>
        <v>810514</v>
      </c>
      <c r="N868">
        <f t="shared" si="118"/>
        <v>506158.49999999994</v>
      </c>
      <c r="O868">
        <f t="shared" si="119"/>
        <v>304355.50000000006</v>
      </c>
      <c r="P868" s="6">
        <f t="shared" si="120"/>
        <v>0.37550924475086189</v>
      </c>
      <c r="Q868">
        <f t="shared" si="121"/>
        <v>45</v>
      </c>
      <c r="R868">
        <f t="shared" si="122"/>
        <v>2013</v>
      </c>
      <c r="S868" t="str">
        <f t="shared" si="123"/>
        <v>April</v>
      </c>
      <c r="T868">
        <f t="shared" si="124"/>
        <v>4</v>
      </c>
      <c r="U868" t="str">
        <f t="shared" si="125"/>
        <v>Medium Profit</v>
      </c>
    </row>
    <row r="869" spans="1:21" x14ac:dyDescent="0.35">
      <c r="A869" s="5" t="s">
        <v>33</v>
      </c>
      <c r="B869" s="5" t="s">
        <v>372</v>
      </c>
      <c r="C869" t="s">
        <v>72</v>
      </c>
      <c r="D869" t="s">
        <v>1095</v>
      </c>
      <c r="E869" t="s">
        <v>29</v>
      </c>
      <c r="F869" t="s">
        <v>41</v>
      </c>
      <c r="G869" s="3">
        <v>40806</v>
      </c>
      <c r="H869">
        <v>644772422</v>
      </c>
      <c r="I869" s="3">
        <v>40842</v>
      </c>
      <c r="J869">
        <v>1343</v>
      </c>
      <c r="K869">
        <v>47.45</v>
      </c>
      <c r="L869">
        <v>31.79</v>
      </c>
      <c r="M869">
        <f t="shared" si="117"/>
        <v>63725.350000000006</v>
      </c>
      <c r="N869">
        <f t="shared" si="118"/>
        <v>42693.97</v>
      </c>
      <c r="O869">
        <f t="shared" si="119"/>
        <v>21031.380000000005</v>
      </c>
      <c r="P869" s="6">
        <f t="shared" si="120"/>
        <v>0.33003161222339311</v>
      </c>
      <c r="Q869">
        <f t="shared" si="121"/>
        <v>36</v>
      </c>
      <c r="R869">
        <f t="shared" si="122"/>
        <v>2011</v>
      </c>
      <c r="S869" t="str">
        <f t="shared" si="123"/>
        <v>September</v>
      </c>
      <c r="T869">
        <f t="shared" si="124"/>
        <v>9</v>
      </c>
      <c r="U869" t="str">
        <f t="shared" si="125"/>
        <v>Low Profit</v>
      </c>
    </row>
    <row r="870" spans="1:21" x14ac:dyDescent="0.35">
      <c r="A870" s="5" t="s">
        <v>42</v>
      </c>
      <c r="B870" s="5" t="s">
        <v>1083</v>
      </c>
      <c r="C870" t="s">
        <v>27</v>
      </c>
      <c r="D870" t="s">
        <v>1096</v>
      </c>
      <c r="E870" t="s">
        <v>23</v>
      </c>
      <c r="F870" t="s">
        <v>32</v>
      </c>
      <c r="G870" s="3">
        <v>41011</v>
      </c>
      <c r="H870">
        <v>959853875</v>
      </c>
      <c r="I870" s="3">
        <v>41033</v>
      </c>
      <c r="J870">
        <v>947</v>
      </c>
      <c r="K870">
        <v>154.06</v>
      </c>
      <c r="L870">
        <v>90.93</v>
      </c>
      <c r="M870">
        <f t="shared" si="117"/>
        <v>145894.82</v>
      </c>
      <c r="N870">
        <f t="shared" si="118"/>
        <v>86110.71</v>
      </c>
      <c r="O870">
        <f t="shared" si="119"/>
        <v>59784.11</v>
      </c>
      <c r="P870" s="6">
        <f t="shared" si="120"/>
        <v>0.40977541217707386</v>
      </c>
      <c r="Q870">
        <f t="shared" si="121"/>
        <v>22</v>
      </c>
      <c r="R870">
        <f t="shared" si="122"/>
        <v>2012</v>
      </c>
      <c r="S870" t="str">
        <f t="shared" si="123"/>
        <v>April</v>
      </c>
      <c r="T870">
        <f t="shared" si="124"/>
        <v>4</v>
      </c>
      <c r="U870" t="str">
        <f t="shared" si="125"/>
        <v>Low Profit</v>
      </c>
    </row>
    <row r="871" spans="1:21" x14ac:dyDescent="0.35">
      <c r="A871" s="5" t="s">
        <v>42</v>
      </c>
      <c r="B871" s="5" t="s">
        <v>387</v>
      </c>
      <c r="C871" t="s">
        <v>27</v>
      </c>
      <c r="D871" t="s">
        <v>1097</v>
      </c>
      <c r="E871" t="s">
        <v>29</v>
      </c>
      <c r="F871" t="s">
        <v>32</v>
      </c>
      <c r="G871" s="3">
        <v>41184</v>
      </c>
      <c r="H871">
        <v>645597255</v>
      </c>
      <c r="I871" s="3">
        <v>41207</v>
      </c>
      <c r="J871">
        <v>5429</v>
      </c>
      <c r="K871">
        <v>154.06</v>
      </c>
      <c r="L871">
        <v>90.93</v>
      </c>
      <c r="M871">
        <f t="shared" si="117"/>
        <v>836391.74</v>
      </c>
      <c r="N871">
        <f t="shared" si="118"/>
        <v>493658.97000000003</v>
      </c>
      <c r="O871">
        <f t="shared" si="119"/>
        <v>342732.76999999996</v>
      </c>
      <c r="P871" s="6">
        <f t="shared" si="120"/>
        <v>0.40977541217707381</v>
      </c>
      <c r="Q871">
        <f t="shared" si="121"/>
        <v>23</v>
      </c>
      <c r="R871">
        <f t="shared" si="122"/>
        <v>2012</v>
      </c>
      <c r="S871" t="str">
        <f t="shared" si="123"/>
        <v>October</v>
      </c>
      <c r="T871">
        <f t="shared" si="124"/>
        <v>10</v>
      </c>
      <c r="U871" t="str">
        <f t="shared" si="125"/>
        <v>Medium Profit</v>
      </c>
    </row>
    <row r="872" spans="1:21" x14ac:dyDescent="0.35">
      <c r="A872" s="5" t="s">
        <v>33</v>
      </c>
      <c r="B872" s="5" t="s">
        <v>636</v>
      </c>
      <c r="C872" t="s">
        <v>30</v>
      </c>
      <c r="D872" t="s">
        <v>1098</v>
      </c>
      <c r="E872" t="s">
        <v>23</v>
      </c>
      <c r="F872" t="s">
        <v>32</v>
      </c>
      <c r="G872" s="3">
        <v>40910</v>
      </c>
      <c r="H872">
        <v>556738889</v>
      </c>
      <c r="I872" s="3">
        <v>40933</v>
      </c>
      <c r="J872">
        <v>264</v>
      </c>
      <c r="K872">
        <v>255.28</v>
      </c>
      <c r="L872">
        <v>159.41999999999999</v>
      </c>
      <c r="M872">
        <f t="shared" si="117"/>
        <v>67393.919999999998</v>
      </c>
      <c r="N872">
        <f t="shared" si="118"/>
        <v>42086.879999999997</v>
      </c>
      <c r="O872">
        <f t="shared" si="119"/>
        <v>25307.040000000001</v>
      </c>
      <c r="P872" s="6">
        <f t="shared" si="120"/>
        <v>0.37550924475086184</v>
      </c>
      <c r="Q872">
        <f t="shared" si="121"/>
        <v>23</v>
      </c>
      <c r="R872">
        <f t="shared" si="122"/>
        <v>2012</v>
      </c>
      <c r="S872" t="str">
        <f t="shared" si="123"/>
        <v>January</v>
      </c>
      <c r="T872">
        <f t="shared" si="124"/>
        <v>1</v>
      </c>
      <c r="U872" t="str">
        <f t="shared" si="125"/>
        <v>Low Profit</v>
      </c>
    </row>
    <row r="873" spans="1:21" x14ac:dyDescent="0.35">
      <c r="A873" s="5" t="s">
        <v>37</v>
      </c>
      <c r="B873" s="5" t="s">
        <v>1099</v>
      </c>
      <c r="C873" t="s">
        <v>27</v>
      </c>
      <c r="D873" t="s">
        <v>1100</v>
      </c>
      <c r="E873" t="s">
        <v>29</v>
      </c>
      <c r="F873" t="s">
        <v>24</v>
      </c>
      <c r="G873" s="3">
        <v>41547</v>
      </c>
      <c r="H873">
        <v>718327605</v>
      </c>
      <c r="I873" s="3">
        <v>41588</v>
      </c>
      <c r="J873">
        <v>7956</v>
      </c>
      <c r="K873">
        <v>154.06</v>
      </c>
      <c r="L873">
        <v>90.93</v>
      </c>
      <c r="M873">
        <f t="shared" si="117"/>
        <v>1225701.3600000001</v>
      </c>
      <c r="N873">
        <f t="shared" si="118"/>
        <v>723439.08000000007</v>
      </c>
      <c r="O873">
        <f t="shared" si="119"/>
        <v>502262.28</v>
      </c>
      <c r="P873" s="6">
        <f t="shared" si="120"/>
        <v>0.40977541217707386</v>
      </c>
      <c r="Q873">
        <f t="shared" si="121"/>
        <v>41</v>
      </c>
      <c r="R873">
        <f t="shared" si="122"/>
        <v>2013</v>
      </c>
      <c r="S873" t="str">
        <f t="shared" si="123"/>
        <v>September</v>
      </c>
      <c r="T873">
        <f t="shared" si="124"/>
        <v>9</v>
      </c>
      <c r="U873" t="str">
        <f t="shared" si="125"/>
        <v>High Profit</v>
      </c>
    </row>
    <row r="874" spans="1:21" x14ac:dyDescent="0.35">
      <c r="A874" s="5" t="s">
        <v>42</v>
      </c>
      <c r="B874" s="5" t="s">
        <v>414</v>
      </c>
      <c r="C874" t="s">
        <v>30</v>
      </c>
      <c r="D874" t="s">
        <v>1101</v>
      </c>
      <c r="E874" t="s">
        <v>23</v>
      </c>
      <c r="F874" t="s">
        <v>66</v>
      </c>
      <c r="G874" s="3">
        <v>42073</v>
      </c>
      <c r="H874">
        <v>775724732</v>
      </c>
      <c r="I874" s="3">
        <v>42083</v>
      </c>
      <c r="J874">
        <v>3041</v>
      </c>
      <c r="K874">
        <v>255.28</v>
      </c>
      <c r="L874">
        <v>159.41999999999999</v>
      </c>
      <c r="M874">
        <f t="shared" si="117"/>
        <v>776306.48</v>
      </c>
      <c r="N874">
        <f t="shared" si="118"/>
        <v>484796.22</v>
      </c>
      <c r="O874">
        <f t="shared" si="119"/>
        <v>291510.26</v>
      </c>
      <c r="P874" s="6">
        <f t="shared" si="120"/>
        <v>0.37550924475086184</v>
      </c>
      <c r="Q874">
        <f t="shared" si="121"/>
        <v>10</v>
      </c>
      <c r="R874">
        <f t="shared" si="122"/>
        <v>2015</v>
      </c>
      <c r="S874" t="str">
        <f t="shared" si="123"/>
        <v>March</v>
      </c>
      <c r="T874">
        <f t="shared" si="124"/>
        <v>3</v>
      </c>
      <c r="U874" t="str">
        <f t="shared" si="125"/>
        <v>Medium Profit</v>
      </c>
    </row>
    <row r="875" spans="1:21" x14ac:dyDescent="0.35">
      <c r="A875" s="5" t="s">
        <v>42</v>
      </c>
      <c r="B875" s="5" t="s">
        <v>113</v>
      </c>
      <c r="C875" t="s">
        <v>30</v>
      </c>
      <c r="D875" t="s">
        <v>1102</v>
      </c>
      <c r="E875" t="s">
        <v>23</v>
      </c>
      <c r="F875" t="s">
        <v>41</v>
      </c>
      <c r="G875" s="3">
        <v>40477</v>
      </c>
      <c r="H875">
        <v>444604098</v>
      </c>
      <c r="I875" s="3">
        <v>40482</v>
      </c>
      <c r="J875">
        <v>7088</v>
      </c>
      <c r="K875">
        <v>255.28</v>
      </c>
      <c r="L875">
        <v>159.41999999999999</v>
      </c>
      <c r="M875">
        <f t="shared" si="117"/>
        <v>1809424.64</v>
      </c>
      <c r="N875">
        <f t="shared" si="118"/>
        <v>1129968.96</v>
      </c>
      <c r="O875">
        <f t="shared" si="119"/>
        <v>679455.67999999993</v>
      </c>
      <c r="P875" s="6">
        <f t="shared" si="120"/>
        <v>0.37550924475086178</v>
      </c>
      <c r="Q875">
        <f t="shared" si="121"/>
        <v>5</v>
      </c>
      <c r="R875">
        <f t="shared" si="122"/>
        <v>2010</v>
      </c>
      <c r="S875" t="str">
        <f t="shared" si="123"/>
        <v>October</v>
      </c>
      <c r="T875">
        <f t="shared" si="124"/>
        <v>10</v>
      </c>
      <c r="U875" t="str">
        <f t="shared" si="125"/>
        <v>High Profit</v>
      </c>
    </row>
    <row r="876" spans="1:21" x14ac:dyDescent="0.35">
      <c r="A876" s="5" t="s">
        <v>19</v>
      </c>
      <c r="B876" s="5" t="s">
        <v>118</v>
      </c>
      <c r="C876" t="s">
        <v>72</v>
      </c>
      <c r="D876" t="s">
        <v>1103</v>
      </c>
      <c r="E876" t="s">
        <v>29</v>
      </c>
      <c r="F876" t="s">
        <v>32</v>
      </c>
      <c r="G876" s="3">
        <v>40665</v>
      </c>
      <c r="H876">
        <v>860952031</v>
      </c>
      <c r="I876" s="3">
        <v>40676</v>
      </c>
      <c r="J876">
        <v>3693</v>
      </c>
      <c r="K876">
        <v>47.45</v>
      </c>
      <c r="L876">
        <v>31.79</v>
      </c>
      <c r="M876">
        <f t="shared" si="117"/>
        <v>175232.85</v>
      </c>
      <c r="N876">
        <f t="shared" si="118"/>
        <v>117400.47</v>
      </c>
      <c r="O876">
        <f t="shared" si="119"/>
        <v>57832.380000000005</v>
      </c>
      <c r="P876" s="6">
        <f t="shared" si="120"/>
        <v>0.33003161222339306</v>
      </c>
      <c r="Q876">
        <f t="shared" si="121"/>
        <v>11</v>
      </c>
      <c r="R876">
        <f t="shared" si="122"/>
        <v>2011</v>
      </c>
      <c r="S876" t="str">
        <f t="shared" si="123"/>
        <v>May</v>
      </c>
      <c r="T876">
        <f t="shared" si="124"/>
        <v>5</v>
      </c>
      <c r="U876" t="str">
        <f t="shared" si="125"/>
        <v>Low Profit</v>
      </c>
    </row>
    <row r="877" spans="1:21" x14ac:dyDescent="0.35">
      <c r="A877" s="5" t="s">
        <v>37</v>
      </c>
      <c r="B877" s="5" t="s">
        <v>191</v>
      </c>
      <c r="C877" t="s">
        <v>92</v>
      </c>
      <c r="D877" t="s">
        <v>1104</v>
      </c>
      <c r="E877" t="s">
        <v>23</v>
      </c>
      <c r="F877" t="s">
        <v>32</v>
      </c>
      <c r="G877" s="3">
        <v>42785</v>
      </c>
      <c r="H877">
        <v>531067359</v>
      </c>
      <c r="I877" s="3">
        <v>42786</v>
      </c>
      <c r="J877">
        <v>3488</v>
      </c>
      <c r="K877">
        <v>421.89</v>
      </c>
      <c r="L877">
        <v>364.69</v>
      </c>
      <c r="M877">
        <f t="shared" si="117"/>
        <v>1471552.32</v>
      </c>
      <c r="N877">
        <f t="shared" si="118"/>
        <v>1272038.72</v>
      </c>
      <c r="O877">
        <f t="shared" si="119"/>
        <v>199513.60000000009</v>
      </c>
      <c r="P877" s="6">
        <f t="shared" si="120"/>
        <v>0.13558036455000125</v>
      </c>
      <c r="Q877">
        <f t="shared" si="121"/>
        <v>1</v>
      </c>
      <c r="R877">
        <f t="shared" si="122"/>
        <v>2017</v>
      </c>
      <c r="S877" t="str">
        <f t="shared" si="123"/>
        <v>February</v>
      </c>
      <c r="T877">
        <f t="shared" si="124"/>
        <v>2</v>
      </c>
      <c r="U877" t="str">
        <f t="shared" si="125"/>
        <v>Medium Profit</v>
      </c>
    </row>
    <row r="878" spans="1:21" x14ac:dyDescent="0.35">
      <c r="A878" s="5" t="s">
        <v>19</v>
      </c>
      <c r="B878" s="5" t="s">
        <v>350</v>
      </c>
      <c r="C878" t="s">
        <v>21</v>
      </c>
      <c r="D878" t="s">
        <v>1105</v>
      </c>
      <c r="E878" t="s">
        <v>23</v>
      </c>
      <c r="F878" t="s">
        <v>24</v>
      </c>
      <c r="G878" s="3">
        <v>41840</v>
      </c>
      <c r="H878">
        <v>281561410</v>
      </c>
      <c r="I878" s="3">
        <v>41853</v>
      </c>
      <c r="J878">
        <v>9133</v>
      </c>
      <c r="K878">
        <v>437.2</v>
      </c>
      <c r="L878">
        <v>263.33</v>
      </c>
      <c r="M878">
        <f t="shared" si="117"/>
        <v>3992947.6</v>
      </c>
      <c r="N878">
        <f t="shared" si="118"/>
        <v>2404992.8899999997</v>
      </c>
      <c r="O878">
        <f t="shared" si="119"/>
        <v>1587954.7100000004</v>
      </c>
      <c r="P878" s="6">
        <f t="shared" si="120"/>
        <v>0.39768984446477595</v>
      </c>
      <c r="Q878">
        <f t="shared" si="121"/>
        <v>13</v>
      </c>
      <c r="R878">
        <f t="shared" si="122"/>
        <v>2014</v>
      </c>
      <c r="S878" t="str">
        <f t="shared" si="123"/>
        <v>July</v>
      </c>
      <c r="T878">
        <f t="shared" si="124"/>
        <v>7</v>
      </c>
      <c r="U878" t="str">
        <f t="shared" si="125"/>
        <v>High Profit</v>
      </c>
    </row>
    <row r="879" spans="1:21" x14ac:dyDescent="0.35">
      <c r="A879" s="5" t="s">
        <v>33</v>
      </c>
      <c r="B879" s="5" t="s">
        <v>243</v>
      </c>
      <c r="C879" t="s">
        <v>83</v>
      </c>
      <c r="D879" t="s">
        <v>1106</v>
      </c>
      <c r="E879" t="s">
        <v>23</v>
      </c>
      <c r="F879" t="s">
        <v>66</v>
      </c>
      <c r="G879" s="3">
        <v>42904</v>
      </c>
      <c r="H879">
        <v>109358012</v>
      </c>
      <c r="I879" s="3">
        <v>42926</v>
      </c>
      <c r="J879">
        <v>321</v>
      </c>
      <c r="K879">
        <v>81.73</v>
      </c>
      <c r="L879">
        <v>56.67</v>
      </c>
      <c r="M879">
        <f t="shared" si="117"/>
        <v>26235.33</v>
      </c>
      <c r="N879">
        <f t="shared" si="118"/>
        <v>18191.07</v>
      </c>
      <c r="O879">
        <f t="shared" si="119"/>
        <v>8044.260000000002</v>
      </c>
      <c r="P879" s="6">
        <f t="shared" si="120"/>
        <v>0.30661935641747223</v>
      </c>
      <c r="Q879">
        <f t="shared" si="121"/>
        <v>22</v>
      </c>
      <c r="R879">
        <f t="shared" si="122"/>
        <v>2017</v>
      </c>
      <c r="S879" t="str">
        <f t="shared" si="123"/>
        <v>June</v>
      </c>
      <c r="T879">
        <f t="shared" si="124"/>
        <v>6</v>
      </c>
      <c r="U879" t="str">
        <f t="shared" si="125"/>
        <v>Low Profit</v>
      </c>
    </row>
    <row r="880" spans="1:21" x14ac:dyDescent="0.35">
      <c r="A880" s="5" t="s">
        <v>42</v>
      </c>
      <c r="B880" s="5" t="s">
        <v>257</v>
      </c>
      <c r="C880" t="s">
        <v>72</v>
      </c>
      <c r="D880" t="s">
        <v>1107</v>
      </c>
      <c r="E880" t="s">
        <v>29</v>
      </c>
      <c r="F880" t="s">
        <v>66</v>
      </c>
      <c r="G880" s="3">
        <v>40378</v>
      </c>
      <c r="H880">
        <v>531693494</v>
      </c>
      <c r="I880" s="3">
        <v>40396</v>
      </c>
      <c r="J880">
        <v>8775</v>
      </c>
      <c r="K880">
        <v>47.45</v>
      </c>
      <c r="L880">
        <v>31.79</v>
      </c>
      <c r="M880">
        <f t="shared" si="117"/>
        <v>416373.75</v>
      </c>
      <c r="N880">
        <f t="shared" si="118"/>
        <v>278957.25</v>
      </c>
      <c r="O880">
        <f t="shared" si="119"/>
        <v>137416.5</v>
      </c>
      <c r="P880" s="6">
        <f t="shared" si="120"/>
        <v>0.33003161222339306</v>
      </c>
      <c r="Q880">
        <f t="shared" si="121"/>
        <v>18</v>
      </c>
      <c r="R880">
        <f t="shared" si="122"/>
        <v>2010</v>
      </c>
      <c r="S880" t="str">
        <f t="shared" si="123"/>
        <v>July</v>
      </c>
      <c r="T880">
        <f t="shared" si="124"/>
        <v>7</v>
      </c>
      <c r="U880" t="str">
        <f t="shared" si="125"/>
        <v>Medium Profit</v>
      </c>
    </row>
    <row r="881" spans="1:21" x14ac:dyDescent="0.35">
      <c r="A881" s="5" t="s">
        <v>50</v>
      </c>
      <c r="B881" s="5" t="s">
        <v>366</v>
      </c>
      <c r="C881" t="s">
        <v>48</v>
      </c>
      <c r="D881" t="s">
        <v>1108</v>
      </c>
      <c r="E881" t="s">
        <v>23</v>
      </c>
      <c r="F881" t="s">
        <v>32</v>
      </c>
      <c r="G881" s="3">
        <v>41495</v>
      </c>
      <c r="H881">
        <v>336116683</v>
      </c>
      <c r="I881" s="3">
        <v>41521</v>
      </c>
      <c r="J881">
        <v>3251</v>
      </c>
      <c r="K881">
        <v>109.28</v>
      </c>
      <c r="L881">
        <v>35.840000000000003</v>
      </c>
      <c r="M881">
        <f t="shared" si="117"/>
        <v>355269.28</v>
      </c>
      <c r="N881">
        <f t="shared" si="118"/>
        <v>116515.84000000001</v>
      </c>
      <c r="O881">
        <f t="shared" si="119"/>
        <v>238753.44</v>
      </c>
      <c r="P881" s="6">
        <f t="shared" si="120"/>
        <v>0.67203513909224011</v>
      </c>
      <c r="Q881">
        <f t="shared" si="121"/>
        <v>26</v>
      </c>
      <c r="R881">
        <f t="shared" si="122"/>
        <v>2013</v>
      </c>
      <c r="S881" t="str">
        <f t="shared" si="123"/>
        <v>August</v>
      </c>
      <c r="T881">
        <f t="shared" si="124"/>
        <v>8</v>
      </c>
      <c r="U881" t="str">
        <f t="shared" si="125"/>
        <v>Medium Profit</v>
      </c>
    </row>
    <row r="882" spans="1:21" x14ac:dyDescent="0.35">
      <c r="A882" s="5" t="s">
        <v>37</v>
      </c>
      <c r="B882" s="5" t="s">
        <v>76</v>
      </c>
      <c r="C882" t="s">
        <v>35</v>
      </c>
      <c r="D882" t="s">
        <v>1109</v>
      </c>
      <c r="E882" t="s">
        <v>23</v>
      </c>
      <c r="F882" t="s">
        <v>24</v>
      </c>
      <c r="G882" s="3">
        <v>42817</v>
      </c>
      <c r="H882">
        <v>630488908</v>
      </c>
      <c r="I882" s="3">
        <v>42855</v>
      </c>
      <c r="J882">
        <v>4534</v>
      </c>
      <c r="K882">
        <v>205.7</v>
      </c>
      <c r="L882">
        <v>117.11</v>
      </c>
      <c r="M882">
        <f t="shared" si="117"/>
        <v>932643.79999999993</v>
      </c>
      <c r="N882">
        <f t="shared" si="118"/>
        <v>530976.74</v>
      </c>
      <c r="O882">
        <f t="shared" si="119"/>
        <v>401667.05999999994</v>
      </c>
      <c r="P882" s="6">
        <f t="shared" si="120"/>
        <v>0.43067574137092851</v>
      </c>
      <c r="Q882">
        <f t="shared" si="121"/>
        <v>38</v>
      </c>
      <c r="R882">
        <f t="shared" si="122"/>
        <v>2017</v>
      </c>
      <c r="S882" t="str">
        <f t="shared" si="123"/>
        <v>March</v>
      </c>
      <c r="T882">
        <f t="shared" si="124"/>
        <v>3</v>
      </c>
      <c r="U882" t="str">
        <f t="shared" si="125"/>
        <v>Medium Profit</v>
      </c>
    </row>
    <row r="883" spans="1:21" x14ac:dyDescent="0.35">
      <c r="A883" s="5" t="s">
        <v>42</v>
      </c>
      <c r="B883" s="5" t="s">
        <v>759</v>
      </c>
      <c r="C883" t="s">
        <v>39</v>
      </c>
      <c r="D883" t="s">
        <v>1110</v>
      </c>
      <c r="E883" t="s">
        <v>29</v>
      </c>
      <c r="F883" t="s">
        <v>66</v>
      </c>
      <c r="G883" s="3">
        <v>42674</v>
      </c>
      <c r="H883">
        <v>792983996</v>
      </c>
      <c r="I883" s="3">
        <v>42706</v>
      </c>
      <c r="J883">
        <v>441</v>
      </c>
      <c r="K883">
        <v>9.33</v>
      </c>
      <c r="L883">
        <v>6.92</v>
      </c>
      <c r="M883">
        <f t="shared" si="117"/>
        <v>4114.53</v>
      </c>
      <c r="N883">
        <f t="shared" si="118"/>
        <v>3051.72</v>
      </c>
      <c r="O883">
        <f t="shared" si="119"/>
        <v>1062.81</v>
      </c>
      <c r="P883" s="6">
        <f t="shared" si="120"/>
        <v>0.25830653804930331</v>
      </c>
      <c r="Q883">
        <f t="shared" si="121"/>
        <v>32</v>
      </c>
      <c r="R883">
        <f t="shared" si="122"/>
        <v>2016</v>
      </c>
      <c r="S883" t="str">
        <f t="shared" si="123"/>
        <v>October</v>
      </c>
      <c r="T883">
        <f t="shared" si="124"/>
        <v>10</v>
      </c>
      <c r="U883" t="str">
        <f t="shared" si="125"/>
        <v>Low Profit</v>
      </c>
    </row>
    <row r="884" spans="1:21" x14ac:dyDescent="0.35">
      <c r="A884" s="5" t="s">
        <v>42</v>
      </c>
      <c r="B884" s="5" t="s">
        <v>414</v>
      </c>
      <c r="C884" t="s">
        <v>39</v>
      </c>
      <c r="D884" t="s">
        <v>1111</v>
      </c>
      <c r="E884" t="s">
        <v>29</v>
      </c>
      <c r="F884" t="s">
        <v>32</v>
      </c>
      <c r="G884" s="3">
        <v>42554</v>
      </c>
      <c r="H884">
        <v>722088277</v>
      </c>
      <c r="I884" s="3">
        <v>42554</v>
      </c>
      <c r="J884">
        <v>822</v>
      </c>
      <c r="K884">
        <v>9.33</v>
      </c>
      <c r="L884">
        <v>6.92</v>
      </c>
      <c r="M884">
        <f t="shared" si="117"/>
        <v>7669.26</v>
      </c>
      <c r="N884">
        <f t="shared" si="118"/>
        <v>5688.24</v>
      </c>
      <c r="O884">
        <f t="shared" si="119"/>
        <v>1981.0200000000004</v>
      </c>
      <c r="P884" s="6">
        <f t="shared" si="120"/>
        <v>0.25830653804930337</v>
      </c>
      <c r="Q884">
        <f t="shared" si="121"/>
        <v>0</v>
      </c>
      <c r="R884">
        <f t="shared" si="122"/>
        <v>2016</v>
      </c>
      <c r="S884" t="str">
        <f t="shared" si="123"/>
        <v>July</v>
      </c>
      <c r="T884">
        <f t="shared" si="124"/>
        <v>7</v>
      </c>
      <c r="U884" t="str">
        <f t="shared" si="125"/>
        <v>Low Profit</v>
      </c>
    </row>
    <row r="885" spans="1:21" x14ac:dyDescent="0.35">
      <c r="A885" s="5" t="s">
        <v>42</v>
      </c>
      <c r="B885" s="5" t="s">
        <v>363</v>
      </c>
      <c r="C885" t="s">
        <v>21</v>
      </c>
      <c r="D885" t="s">
        <v>1112</v>
      </c>
      <c r="E885" t="s">
        <v>29</v>
      </c>
      <c r="F885" t="s">
        <v>41</v>
      </c>
      <c r="G885" s="3">
        <v>40185</v>
      </c>
      <c r="H885">
        <v>386600577</v>
      </c>
      <c r="I885" s="3">
        <v>40207</v>
      </c>
      <c r="J885">
        <v>2557</v>
      </c>
      <c r="K885">
        <v>437.2</v>
      </c>
      <c r="L885">
        <v>263.33</v>
      </c>
      <c r="M885">
        <f t="shared" si="117"/>
        <v>1117920.3999999999</v>
      </c>
      <c r="N885">
        <f t="shared" si="118"/>
        <v>673334.80999999994</v>
      </c>
      <c r="O885">
        <f t="shared" si="119"/>
        <v>444585.58999999997</v>
      </c>
      <c r="P885" s="6">
        <f t="shared" si="120"/>
        <v>0.39768984446477584</v>
      </c>
      <c r="Q885">
        <f t="shared" si="121"/>
        <v>22</v>
      </c>
      <c r="R885">
        <f t="shared" si="122"/>
        <v>2010</v>
      </c>
      <c r="S885" t="str">
        <f t="shared" si="123"/>
        <v>January</v>
      </c>
      <c r="T885">
        <f t="shared" si="124"/>
        <v>1</v>
      </c>
      <c r="U885" t="str">
        <f t="shared" si="125"/>
        <v>Medium Profit</v>
      </c>
    </row>
    <row r="886" spans="1:21" x14ac:dyDescent="0.35">
      <c r="A886" s="5" t="s">
        <v>53</v>
      </c>
      <c r="B886" s="5" t="s">
        <v>218</v>
      </c>
      <c r="C886" t="s">
        <v>72</v>
      </c>
      <c r="D886" t="s">
        <v>1113</v>
      </c>
      <c r="E886" t="s">
        <v>23</v>
      </c>
      <c r="F886" t="s">
        <v>66</v>
      </c>
      <c r="G886" s="3">
        <v>41979</v>
      </c>
      <c r="H886">
        <v>275632226</v>
      </c>
      <c r="I886" s="3">
        <v>42022</v>
      </c>
      <c r="J886">
        <v>4556</v>
      </c>
      <c r="K886">
        <v>47.45</v>
      </c>
      <c r="L886">
        <v>31.79</v>
      </c>
      <c r="M886">
        <f t="shared" si="117"/>
        <v>216182.2</v>
      </c>
      <c r="N886">
        <f t="shared" si="118"/>
        <v>144835.24</v>
      </c>
      <c r="O886">
        <f t="shared" si="119"/>
        <v>71346.960000000021</v>
      </c>
      <c r="P886" s="6">
        <f t="shared" si="120"/>
        <v>0.33003161222339311</v>
      </c>
      <c r="Q886">
        <f t="shared" si="121"/>
        <v>43</v>
      </c>
      <c r="R886">
        <f t="shared" si="122"/>
        <v>2014</v>
      </c>
      <c r="S886" t="str">
        <f t="shared" si="123"/>
        <v>December</v>
      </c>
      <c r="T886">
        <f t="shared" si="124"/>
        <v>12</v>
      </c>
      <c r="U886" t="str">
        <f t="shared" si="125"/>
        <v>Low Profit</v>
      </c>
    </row>
    <row r="887" spans="1:21" x14ac:dyDescent="0.35">
      <c r="A887" s="5" t="s">
        <v>50</v>
      </c>
      <c r="B887" s="5" t="s">
        <v>918</v>
      </c>
      <c r="C887" t="s">
        <v>27</v>
      </c>
      <c r="D887" t="s">
        <v>1114</v>
      </c>
      <c r="E887" t="s">
        <v>23</v>
      </c>
      <c r="F887" t="s">
        <v>41</v>
      </c>
      <c r="G887" s="3">
        <v>42293</v>
      </c>
      <c r="H887">
        <v>948607051</v>
      </c>
      <c r="I887" s="3">
        <v>42335</v>
      </c>
      <c r="J887">
        <v>2761</v>
      </c>
      <c r="K887">
        <v>154.06</v>
      </c>
      <c r="L887">
        <v>90.93</v>
      </c>
      <c r="M887">
        <f t="shared" si="117"/>
        <v>425359.66000000003</v>
      </c>
      <c r="N887">
        <f t="shared" si="118"/>
        <v>251057.73</v>
      </c>
      <c r="O887">
        <f t="shared" si="119"/>
        <v>174301.93000000002</v>
      </c>
      <c r="P887" s="6">
        <f t="shared" si="120"/>
        <v>0.40977541217707386</v>
      </c>
      <c r="Q887">
        <f t="shared" si="121"/>
        <v>42</v>
      </c>
      <c r="R887">
        <f t="shared" si="122"/>
        <v>2015</v>
      </c>
      <c r="S887" t="str">
        <f t="shared" si="123"/>
        <v>October</v>
      </c>
      <c r="T887">
        <f t="shared" si="124"/>
        <v>10</v>
      </c>
      <c r="U887" t="str">
        <f t="shared" si="125"/>
        <v>Medium Profit</v>
      </c>
    </row>
    <row r="888" spans="1:21" x14ac:dyDescent="0.35">
      <c r="A888" s="5" t="s">
        <v>19</v>
      </c>
      <c r="B888" s="5" t="s">
        <v>452</v>
      </c>
      <c r="C888" t="s">
        <v>35</v>
      </c>
      <c r="D888" t="s">
        <v>1115</v>
      </c>
      <c r="E888" t="s">
        <v>29</v>
      </c>
      <c r="F888" t="s">
        <v>41</v>
      </c>
      <c r="G888" s="3">
        <v>41404</v>
      </c>
      <c r="H888">
        <v>785261380</v>
      </c>
      <c r="I888" s="3">
        <v>41420</v>
      </c>
      <c r="J888">
        <v>5147</v>
      </c>
      <c r="K888">
        <v>205.7</v>
      </c>
      <c r="L888">
        <v>117.11</v>
      </c>
      <c r="M888">
        <f t="shared" si="117"/>
        <v>1058737.8999999999</v>
      </c>
      <c r="N888">
        <f t="shared" si="118"/>
        <v>602765.17000000004</v>
      </c>
      <c r="O888">
        <f t="shared" si="119"/>
        <v>455972.72999999986</v>
      </c>
      <c r="P888" s="6">
        <f t="shared" si="120"/>
        <v>0.43067574137092846</v>
      </c>
      <c r="Q888">
        <f t="shared" si="121"/>
        <v>16</v>
      </c>
      <c r="R888">
        <f t="shared" si="122"/>
        <v>2013</v>
      </c>
      <c r="S888" t="str">
        <f t="shared" si="123"/>
        <v>May</v>
      </c>
      <c r="T888">
        <f t="shared" si="124"/>
        <v>5</v>
      </c>
      <c r="U888" t="str">
        <f t="shared" si="125"/>
        <v>Medium Profit</v>
      </c>
    </row>
    <row r="889" spans="1:21" x14ac:dyDescent="0.35">
      <c r="A889" s="5" t="s">
        <v>53</v>
      </c>
      <c r="B889" s="5" t="s">
        <v>212</v>
      </c>
      <c r="C889" t="s">
        <v>35</v>
      </c>
      <c r="D889" t="s">
        <v>1116</v>
      </c>
      <c r="E889" t="s">
        <v>29</v>
      </c>
      <c r="F889" t="s">
        <v>32</v>
      </c>
      <c r="G889" s="3">
        <v>41360</v>
      </c>
      <c r="H889">
        <v>935644042</v>
      </c>
      <c r="I889" s="3">
        <v>41409</v>
      </c>
      <c r="J889">
        <v>6719</v>
      </c>
      <c r="K889">
        <v>205.7</v>
      </c>
      <c r="L889">
        <v>117.11</v>
      </c>
      <c r="M889">
        <f t="shared" si="117"/>
        <v>1382098.2999999998</v>
      </c>
      <c r="N889">
        <f t="shared" si="118"/>
        <v>786862.09</v>
      </c>
      <c r="O889">
        <f t="shared" si="119"/>
        <v>595236.20999999985</v>
      </c>
      <c r="P889" s="6">
        <f t="shared" si="120"/>
        <v>0.43067574137092851</v>
      </c>
      <c r="Q889">
        <f t="shared" si="121"/>
        <v>49</v>
      </c>
      <c r="R889">
        <f t="shared" si="122"/>
        <v>2013</v>
      </c>
      <c r="S889" t="str">
        <f t="shared" si="123"/>
        <v>March</v>
      </c>
      <c r="T889">
        <f t="shared" si="124"/>
        <v>3</v>
      </c>
      <c r="U889" t="str">
        <f t="shared" si="125"/>
        <v>High Profit</v>
      </c>
    </row>
    <row r="890" spans="1:21" x14ac:dyDescent="0.35">
      <c r="A890" s="5" t="s">
        <v>37</v>
      </c>
      <c r="B890" s="5" t="s">
        <v>186</v>
      </c>
      <c r="C890" t="s">
        <v>58</v>
      </c>
      <c r="D890" t="s">
        <v>1117</v>
      </c>
      <c r="E890" t="s">
        <v>23</v>
      </c>
      <c r="F890" t="s">
        <v>24</v>
      </c>
      <c r="G890" s="3">
        <v>41833</v>
      </c>
      <c r="H890">
        <v>370116364</v>
      </c>
      <c r="I890" s="3">
        <v>41868</v>
      </c>
      <c r="J890">
        <v>4512</v>
      </c>
      <c r="K890">
        <v>152.58000000000001</v>
      </c>
      <c r="L890">
        <v>97.44</v>
      </c>
      <c r="M890">
        <f t="shared" si="117"/>
        <v>688440.96000000008</v>
      </c>
      <c r="N890">
        <f t="shared" si="118"/>
        <v>439649.27999999997</v>
      </c>
      <c r="O890">
        <f t="shared" si="119"/>
        <v>248791.68000000011</v>
      </c>
      <c r="P890" s="6">
        <f t="shared" si="120"/>
        <v>0.36138419189933163</v>
      </c>
      <c r="Q890">
        <f t="shared" si="121"/>
        <v>35</v>
      </c>
      <c r="R890">
        <f t="shared" si="122"/>
        <v>2014</v>
      </c>
      <c r="S890" t="str">
        <f t="shared" si="123"/>
        <v>July</v>
      </c>
      <c r="T890">
        <f t="shared" si="124"/>
        <v>7</v>
      </c>
      <c r="U890" t="str">
        <f t="shared" si="125"/>
        <v>Medium Profit</v>
      </c>
    </row>
    <row r="891" spans="1:21" x14ac:dyDescent="0.35">
      <c r="A891" s="5" t="s">
        <v>33</v>
      </c>
      <c r="B891" s="5" t="s">
        <v>448</v>
      </c>
      <c r="C891" t="s">
        <v>72</v>
      </c>
      <c r="D891" t="s">
        <v>1118</v>
      </c>
      <c r="E891" t="s">
        <v>29</v>
      </c>
      <c r="F891" t="s">
        <v>32</v>
      </c>
      <c r="G891" s="3">
        <v>41502</v>
      </c>
      <c r="H891">
        <v>829352176</v>
      </c>
      <c r="I891" s="3">
        <v>41512</v>
      </c>
      <c r="J891">
        <v>2594</v>
      </c>
      <c r="K891">
        <v>47.45</v>
      </c>
      <c r="L891">
        <v>31.79</v>
      </c>
      <c r="M891">
        <f t="shared" si="117"/>
        <v>123085.3</v>
      </c>
      <c r="N891">
        <f t="shared" si="118"/>
        <v>82463.259999999995</v>
      </c>
      <c r="O891">
        <f t="shared" si="119"/>
        <v>40622.040000000008</v>
      </c>
      <c r="P891" s="6">
        <f t="shared" si="120"/>
        <v>0.33003161222339311</v>
      </c>
      <c r="Q891">
        <f t="shared" si="121"/>
        <v>10</v>
      </c>
      <c r="R891">
        <f t="shared" si="122"/>
        <v>2013</v>
      </c>
      <c r="S891" t="str">
        <f t="shared" si="123"/>
        <v>August</v>
      </c>
      <c r="T891">
        <f t="shared" si="124"/>
        <v>8</v>
      </c>
      <c r="U891" t="str">
        <f t="shared" si="125"/>
        <v>Low Profit</v>
      </c>
    </row>
    <row r="892" spans="1:21" x14ac:dyDescent="0.35">
      <c r="A892" s="5" t="s">
        <v>33</v>
      </c>
      <c r="B892" s="5" t="s">
        <v>448</v>
      </c>
      <c r="C892" t="s">
        <v>60</v>
      </c>
      <c r="D892" t="s">
        <v>1119</v>
      </c>
      <c r="E892" t="s">
        <v>29</v>
      </c>
      <c r="F892" t="s">
        <v>24</v>
      </c>
      <c r="G892" s="3">
        <v>42199</v>
      </c>
      <c r="H892">
        <v>974337804</v>
      </c>
      <c r="I892" s="3">
        <v>42223</v>
      </c>
      <c r="J892">
        <v>7063</v>
      </c>
      <c r="K892">
        <v>668.27</v>
      </c>
      <c r="L892">
        <v>502.54</v>
      </c>
      <c r="M892">
        <f t="shared" si="117"/>
        <v>4719991.01</v>
      </c>
      <c r="N892">
        <f t="shared" si="118"/>
        <v>3549440.02</v>
      </c>
      <c r="O892">
        <f t="shared" si="119"/>
        <v>1170550.9899999998</v>
      </c>
      <c r="P892" s="6">
        <f t="shared" si="120"/>
        <v>0.24799856345489094</v>
      </c>
      <c r="Q892">
        <f t="shared" si="121"/>
        <v>24</v>
      </c>
      <c r="R892">
        <f t="shared" si="122"/>
        <v>2015</v>
      </c>
      <c r="S892" t="str">
        <f t="shared" si="123"/>
        <v>July</v>
      </c>
      <c r="T892">
        <f t="shared" si="124"/>
        <v>7</v>
      </c>
      <c r="U892" t="str">
        <f t="shared" si="125"/>
        <v>High Profit</v>
      </c>
    </row>
    <row r="893" spans="1:21" x14ac:dyDescent="0.35">
      <c r="A893" s="5" t="s">
        <v>42</v>
      </c>
      <c r="B893" s="5" t="s">
        <v>159</v>
      </c>
      <c r="C893" t="s">
        <v>60</v>
      </c>
      <c r="D893" t="s">
        <v>1120</v>
      </c>
      <c r="E893" t="s">
        <v>29</v>
      </c>
      <c r="F893" t="s">
        <v>41</v>
      </c>
      <c r="G893" s="3">
        <v>41996</v>
      </c>
      <c r="H893">
        <v>436372077</v>
      </c>
      <c r="I893" s="3">
        <v>42007</v>
      </c>
      <c r="J893">
        <v>1050</v>
      </c>
      <c r="K893">
        <v>668.27</v>
      </c>
      <c r="L893">
        <v>502.54</v>
      </c>
      <c r="M893">
        <f t="shared" si="117"/>
        <v>701683.5</v>
      </c>
      <c r="N893">
        <f t="shared" si="118"/>
        <v>527667</v>
      </c>
      <c r="O893">
        <f t="shared" si="119"/>
        <v>174016.5</v>
      </c>
      <c r="P893" s="6">
        <f t="shared" si="120"/>
        <v>0.24799856345489099</v>
      </c>
      <c r="Q893">
        <f t="shared" si="121"/>
        <v>11</v>
      </c>
      <c r="R893">
        <f t="shared" si="122"/>
        <v>2014</v>
      </c>
      <c r="S893" t="str">
        <f t="shared" si="123"/>
        <v>December</v>
      </c>
      <c r="T893">
        <f t="shared" si="124"/>
        <v>12</v>
      </c>
      <c r="U893" t="str">
        <f t="shared" si="125"/>
        <v>Medium Profit</v>
      </c>
    </row>
    <row r="894" spans="1:21" x14ac:dyDescent="0.35">
      <c r="A894" s="5" t="s">
        <v>37</v>
      </c>
      <c r="B894" s="5" t="s">
        <v>580</v>
      </c>
      <c r="C894" t="s">
        <v>35</v>
      </c>
      <c r="D894" t="s">
        <v>1121</v>
      </c>
      <c r="E894" t="s">
        <v>23</v>
      </c>
      <c r="F894" t="s">
        <v>24</v>
      </c>
      <c r="G894" s="3">
        <v>42121</v>
      </c>
      <c r="H894">
        <v>267066323</v>
      </c>
      <c r="I894" s="3">
        <v>42143</v>
      </c>
      <c r="J894">
        <v>9715</v>
      </c>
      <c r="K894">
        <v>205.7</v>
      </c>
      <c r="L894">
        <v>117.11</v>
      </c>
      <c r="M894">
        <f t="shared" si="117"/>
        <v>1998375.5</v>
      </c>
      <c r="N894">
        <f t="shared" si="118"/>
        <v>1137723.6499999999</v>
      </c>
      <c r="O894">
        <f t="shared" si="119"/>
        <v>860651.85000000009</v>
      </c>
      <c r="P894" s="6">
        <f t="shared" si="120"/>
        <v>0.43067574137092857</v>
      </c>
      <c r="Q894">
        <f t="shared" si="121"/>
        <v>22</v>
      </c>
      <c r="R894">
        <f t="shared" si="122"/>
        <v>2015</v>
      </c>
      <c r="S894" t="str">
        <f t="shared" si="123"/>
        <v>April</v>
      </c>
      <c r="T894">
        <f t="shared" si="124"/>
        <v>4</v>
      </c>
      <c r="U894" t="str">
        <f t="shared" si="125"/>
        <v>High Profit</v>
      </c>
    </row>
    <row r="895" spans="1:21" x14ac:dyDescent="0.35">
      <c r="A895" s="5" t="s">
        <v>19</v>
      </c>
      <c r="B895" s="5" t="s">
        <v>310</v>
      </c>
      <c r="C895" t="s">
        <v>39</v>
      </c>
      <c r="D895" t="s">
        <v>1122</v>
      </c>
      <c r="E895" t="s">
        <v>29</v>
      </c>
      <c r="F895" t="s">
        <v>24</v>
      </c>
      <c r="G895" s="3">
        <v>42808</v>
      </c>
      <c r="H895">
        <v>688344371</v>
      </c>
      <c r="I895" s="3">
        <v>42853</v>
      </c>
      <c r="J895">
        <v>5251</v>
      </c>
      <c r="K895">
        <v>9.33</v>
      </c>
      <c r="L895">
        <v>6.92</v>
      </c>
      <c r="M895">
        <f t="shared" si="117"/>
        <v>48991.83</v>
      </c>
      <c r="N895">
        <f t="shared" si="118"/>
        <v>36336.92</v>
      </c>
      <c r="O895">
        <f t="shared" si="119"/>
        <v>12654.910000000003</v>
      </c>
      <c r="P895" s="6">
        <f t="shared" si="120"/>
        <v>0.25830653804930337</v>
      </c>
      <c r="Q895">
        <f t="shared" si="121"/>
        <v>45</v>
      </c>
      <c r="R895">
        <f t="shared" si="122"/>
        <v>2017</v>
      </c>
      <c r="S895" t="str">
        <f t="shared" si="123"/>
        <v>March</v>
      </c>
      <c r="T895">
        <f t="shared" si="124"/>
        <v>3</v>
      </c>
      <c r="U895" t="str">
        <f t="shared" si="125"/>
        <v>Low Profit</v>
      </c>
    </row>
    <row r="896" spans="1:21" x14ac:dyDescent="0.35">
      <c r="A896" s="5" t="s">
        <v>19</v>
      </c>
      <c r="B896" s="5" t="s">
        <v>234</v>
      </c>
      <c r="C896" t="s">
        <v>21</v>
      </c>
      <c r="D896" t="s">
        <v>1123</v>
      </c>
      <c r="E896" t="s">
        <v>23</v>
      </c>
      <c r="F896" t="s">
        <v>24</v>
      </c>
      <c r="G896" s="3">
        <v>41914</v>
      </c>
      <c r="H896">
        <v>642442548</v>
      </c>
      <c r="I896" s="3">
        <v>41945</v>
      </c>
      <c r="J896">
        <v>1881</v>
      </c>
      <c r="K896">
        <v>437.2</v>
      </c>
      <c r="L896">
        <v>263.33</v>
      </c>
      <c r="M896">
        <f t="shared" si="117"/>
        <v>822373.2</v>
      </c>
      <c r="N896">
        <f t="shared" si="118"/>
        <v>495323.73</v>
      </c>
      <c r="O896">
        <f t="shared" si="119"/>
        <v>327049.46999999997</v>
      </c>
      <c r="P896" s="6">
        <f t="shared" si="120"/>
        <v>0.39768984446477584</v>
      </c>
      <c r="Q896">
        <f t="shared" si="121"/>
        <v>31</v>
      </c>
      <c r="R896">
        <f t="shared" si="122"/>
        <v>2014</v>
      </c>
      <c r="S896" t="str">
        <f t="shared" si="123"/>
        <v>October</v>
      </c>
      <c r="T896">
        <f t="shared" si="124"/>
        <v>10</v>
      </c>
      <c r="U896" t="str">
        <f t="shared" si="125"/>
        <v>Medium Profit</v>
      </c>
    </row>
    <row r="897" spans="1:21" x14ac:dyDescent="0.35">
      <c r="A897" s="5" t="s">
        <v>42</v>
      </c>
      <c r="B897" s="5" t="s">
        <v>223</v>
      </c>
      <c r="C897" t="s">
        <v>35</v>
      </c>
      <c r="D897" t="s">
        <v>1124</v>
      </c>
      <c r="E897" t="s">
        <v>29</v>
      </c>
      <c r="F897" t="s">
        <v>32</v>
      </c>
      <c r="G897" s="3">
        <v>41833</v>
      </c>
      <c r="H897">
        <v>941909682</v>
      </c>
      <c r="I897" s="3">
        <v>41852</v>
      </c>
      <c r="J897">
        <v>861</v>
      </c>
      <c r="K897">
        <v>205.7</v>
      </c>
      <c r="L897">
        <v>117.11</v>
      </c>
      <c r="M897">
        <f t="shared" si="117"/>
        <v>177107.69999999998</v>
      </c>
      <c r="N897">
        <f t="shared" si="118"/>
        <v>100831.71</v>
      </c>
      <c r="O897">
        <f t="shared" si="119"/>
        <v>76275.989999999976</v>
      </c>
      <c r="P897" s="6">
        <f t="shared" si="120"/>
        <v>0.43067574137092846</v>
      </c>
      <c r="Q897">
        <f t="shared" si="121"/>
        <v>19</v>
      </c>
      <c r="R897">
        <f t="shared" si="122"/>
        <v>2014</v>
      </c>
      <c r="S897" t="str">
        <f t="shared" si="123"/>
        <v>July</v>
      </c>
      <c r="T897">
        <f t="shared" si="124"/>
        <v>7</v>
      </c>
      <c r="U897" t="str">
        <f t="shared" si="125"/>
        <v>Low Profit</v>
      </c>
    </row>
    <row r="898" spans="1:21" x14ac:dyDescent="0.35">
      <c r="A898" s="5" t="s">
        <v>42</v>
      </c>
      <c r="B898" s="5" t="s">
        <v>180</v>
      </c>
      <c r="C898" t="s">
        <v>72</v>
      </c>
      <c r="D898" t="s">
        <v>1125</v>
      </c>
      <c r="E898" t="s">
        <v>23</v>
      </c>
      <c r="F898" t="s">
        <v>32</v>
      </c>
      <c r="G898" s="3">
        <v>42582</v>
      </c>
      <c r="H898">
        <v>219607102</v>
      </c>
      <c r="I898" s="3">
        <v>42595</v>
      </c>
      <c r="J898">
        <v>5477</v>
      </c>
      <c r="K898">
        <v>47.45</v>
      </c>
      <c r="L898">
        <v>31.79</v>
      </c>
      <c r="M898">
        <f t="shared" si="117"/>
        <v>259883.65000000002</v>
      </c>
      <c r="N898">
        <f t="shared" si="118"/>
        <v>174113.83</v>
      </c>
      <c r="O898">
        <f t="shared" si="119"/>
        <v>85769.820000000036</v>
      </c>
      <c r="P898" s="6">
        <f t="shared" si="120"/>
        <v>0.33003161222339317</v>
      </c>
      <c r="Q898">
        <f t="shared" si="121"/>
        <v>13</v>
      </c>
      <c r="R898">
        <f t="shared" si="122"/>
        <v>2016</v>
      </c>
      <c r="S898" t="str">
        <f t="shared" si="123"/>
        <v>July</v>
      </c>
      <c r="T898">
        <f t="shared" si="124"/>
        <v>7</v>
      </c>
      <c r="U898" t="str">
        <f t="shared" si="125"/>
        <v>Low Profit</v>
      </c>
    </row>
    <row r="899" spans="1:21" x14ac:dyDescent="0.35">
      <c r="A899" s="5" t="s">
        <v>42</v>
      </c>
      <c r="B899" s="5" t="s">
        <v>270</v>
      </c>
      <c r="C899" t="s">
        <v>83</v>
      </c>
      <c r="D899" t="s">
        <v>1126</v>
      </c>
      <c r="E899" t="s">
        <v>23</v>
      </c>
      <c r="F899" t="s">
        <v>41</v>
      </c>
      <c r="G899" s="3">
        <v>40420</v>
      </c>
      <c r="H899">
        <v>778708636</v>
      </c>
      <c r="I899" s="3">
        <v>40423</v>
      </c>
      <c r="J899">
        <v>6045</v>
      </c>
      <c r="K899">
        <v>81.73</v>
      </c>
      <c r="L899">
        <v>56.67</v>
      </c>
      <c r="M899">
        <f t="shared" ref="M899:M962" si="126">J899*K899</f>
        <v>494057.85000000003</v>
      </c>
      <c r="N899">
        <f t="shared" ref="N899:N962" si="127">J899*L899</f>
        <v>342570.15</v>
      </c>
      <c r="O899">
        <f t="shared" ref="O899:O962" si="128">M899-N899</f>
        <v>151487.70000000001</v>
      </c>
      <c r="P899" s="6">
        <f t="shared" ref="P899:P962" si="129">O899/M899</f>
        <v>0.30661935641747218</v>
      </c>
      <c r="Q899">
        <f t="shared" ref="Q899:Q962" si="130">I899-G899</f>
        <v>3</v>
      </c>
      <c r="R899">
        <f t="shared" ref="R899:R962" si="131">YEAR(G899)</f>
        <v>2010</v>
      </c>
      <c r="S899" t="str">
        <f t="shared" ref="S899:S962" si="132">TEXT(G899,"mmmm")</f>
        <v>August</v>
      </c>
      <c r="T899">
        <f t="shared" ref="T899:T962" si="133">MONTH(G899)</f>
        <v>8</v>
      </c>
      <c r="U899" t="str">
        <f t="shared" ref="U899:U962" si="134">IF(O899&gt;=500000,"High Profit",
IF(O899&gt;=100000,"Medium Profit","Low Profit"))</f>
        <v>Medium Profit</v>
      </c>
    </row>
    <row r="900" spans="1:21" x14ac:dyDescent="0.35">
      <c r="A900" s="5" t="s">
        <v>19</v>
      </c>
      <c r="B900" s="5" t="s">
        <v>234</v>
      </c>
      <c r="C900" t="s">
        <v>72</v>
      </c>
      <c r="D900" t="s">
        <v>1127</v>
      </c>
      <c r="E900" t="s">
        <v>29</v>
      </c>
      <c r="F900" t="s">
        <v>24</v>
      </c>
      <c r="G900" s="3">
        <v>40290</v>
      </c>
      <c r="H900">
        <v>942700612</v>
      </c>
      <c r="I900" s="3">
        <v>40335</v>
      </c>
      <c r="J900">
        <v>4915</v>
      </c>
      <c r="K900">
        <v>47.45</v>
      </c>
      <c r="L900">
        <v>31.79</v>
      </c>
      <c r="M900">
        <f t="shared" si="126"/>
        <v>233216.75</v>
      </c>
      <c r="N900">
        <f t="shared" si="127"/>
        <v>156247.85</v>
      </c>
      <c r="O900">
        <f t="shared" si="128"/>
        <v>76968.899999999994</v>
      </c>
      <c r="P900" s="6">
        <f t="shared" si="129"/>
        <v>0.330031612223393</v>
      </c>
      <c r="Q900">
        <f t="shared" si="130"/>
        <v>45</v>
      </c>
      <c r="R900">
        <f t="shared" si="131"/>
        <v>2010</v>
      </c>
      <c r="S900" t="str">
        <f t="shared" si="132"/>
        <v>April</v>
      </c>
      <c r="T900">
        <f t="shared" si="133"/>
        <v>4</v>
      </c>
      <c r="U900" t="str">
        <f t="shared" si="134"/>
        <v>Low Profit</v>
      </c>
    </row>
    <row r="901" spans="1:21" x14ac:dyDescent="0.35">
      <c r="A901" s="5" t="s">
        <v>53</v>
      </c>
      <c r="B901" s="5" t="s">
        <v>522</v>
      </c>
      <c r="C901" t="s">
        <v>60</v>
      </c>
      <c r="D901" t="s">
        <v>1128</v>
      </c>
      <c r="E901" t="s">
        <v>23</v>
      </c>
      <c r="F901" t="s">
        <v>41</v>
      </c>
      <c r="G901" s="3">
        <v>40611</v>
      </c>
      <c r="H901">
        <v>905381858</v>
      </c>
      <c r="I901" s="3">
        <v>40641</v>
      </c>
      <c r="J901">
        <v>1466</v>
      </c>
      <c r="K901">
        <v>668.27</v>
      </c>
      <c r="L901">
        <v>502.54</v>
      </c>
      <c r="M901">
        <f t="shared" si="126"/>
        <v>979683.82</v>
      </c>
      <c r="N901">
        <f t="shared" si="127"/>
        <v>736723.64</v>
      </c>
      <c r="O901">
        <f t="shared" si="128"/>
        <v>242960.17999999993</v>
      </c>
      <c r="P901" s="6">
        <f t="shared" si="129"/>
        <v>0.24799856345489094</v>
      </c>
      <c r="Q901">
        <f t="shared" si="130"/>
        <v>30</v>
      </c>
      <c r="R901">
        <f t="shared" si="131"/>
        <v>2011</v>
      </c>
      <c r="S901" t="str">
        <f t="shared" si="132"/>
        <v>March</v>
      </c>
      <c r="T901">
        <f t="shared" si="133"/>
        <v>3</v>
      </c>
      <c r="U901" t="str">
        <f t="shared" si="134"/>
        <v>Medium Profit</v>
      </c>
    </row>
    <row r="902" spans="1:21" x14ac:dyDescent="0.35">
      <c r="A902" s="5" t="s">
        <v>19</v>
      </c>
      <c r="B902" s="5" t="s">
        <v>717</v>
      </c>
      <c r="C902" t="s">
        <v>92</v>
      </c>
      <c r="D902" t="s">
        <v>1129</v>
      </c>
      <c r="E902" t="s">
        <v>29</v>
      </c>
      <c r="F902" t="s">
        <v>32</v>
      </c>
      <c r="G902" s="3">
        <v>40191</v>
      </c>
      <c r="H902">
        <v>480863702</v>
      </c>
      <c r="I902" s="3">
        <v>40206</v>
      </c>
      <c r="J902">
        <v>7110</v>
      </c>
      <c r="K902">
        <v>421.89</v>
      </c>
      <c r="L902">
        <v>364.69</v>
      </c>
      <c r="M902">
        <f t="shared" si="126"/>
        <v>2999637.9</v>
      </c>
      <c r="N902">
        <f t="shared" si="127"/>
        <v>2592945.9</v>
      </c>
      <c r="O902">
        <f t="shared" si="128"/>
        <v>406692</v>
      </c>
      <c r="P902" s="6">
        <f t="shared" si="129"/>
        <v>0.13558036455000119</v>
      </c>
      <c r="Q902">
        <f t="shared" si="130"/>
        <v>15</v>
      </c>
      <c r="R902">
        <f t="shared" si="131"/>
        <v>2010</v>
      </c>
      <c r="S902" t="str">
        <f t="shared" si="132"/>
        <v>January</v>
      </c>
      <c r="T902">
        <f t="shared" si="133"/>
        <v>1</v>
      </c>
      <c r="U902" t="str">
        <f t="shared" si="134"/>
        <v>Medium Profit</v>
      </c>
    </row>
    <row r="903" spans="1:21" x14ac:dyDescent="0.35">
      <c r="A903" s="5" t="s">
        <v>33</v>
      </c>
      <c r="B903" s="5" t="s">
        <v>34</v>
      </c>
      <c r="C903" t="s">
        <v>21</v>
      </c>
      <c r="D903" t="s">
        <v>1130</v>
      </c>
      <c r="E903" t="s">
        <v>29</v>
      </c>
      <c r="F903" t="s">
        <v>66</v>
      </c>
      <c r="G903" s="3">
        <v>42375</v>
      </c>
      <c r="H903">
        <v>453569972</v>
      </c>
      <c r="I903" s="3">
        <v>42419</v>
      </c>
      <c r="J903">
        <v>289</v>
      </c>
      <c r="K903">
        <v>437.2</v>
      </c>
      <c r="L903">
        <v>263.33</v>
      </c>
      <c r="M903">
        <f t="shared" si="126"/>
        <v>126350.8</v>
      </c>
      <c r="N903">
        <f t="shared" si="127"/>
        <v>76102.37</v>
      </c>
      <c r="O903">
        <f t="shared" si="128"/>
        <v>50248.430000000008</v>
      </c>
      <c r="P903" s="6">
        <f t="shared" si="129"/>
        <v>0.3976898444647759</v>
      </c>
      <c r="Q903">
        <f t="shared" si="130"/>
        <v>44</v>
      </c>
      <c r="R903">
        <f t="shared" si="131"/>
        <v>2016</v>
      </c>
      <c r="S903" t="str">
        <f t="shared" si="132"/>
        <v>January</v>
      </c>
      <c r="T903">
        <f t="shared" si="133"/>
        <v>1</v>
      </c>
      <c r="U903" t="str">
        <f t="shared" si="134"/>
        <v>Low Profit</v>
      </c>
    </row>
    <row r="904" spans="1:21" x14ac:dyDescent="0.35">
      <c r="A904" s="5" t="s">
        <v>42</v>
      </c>
      <c r="B904" s="5" t="s">
        <v>281</v>
      </c>
      <c r="C904" t="s">
        <v>30</v>
      </c>
      <c r="D904" t="s">
        <v>1131</v>
      </c>
      <c r="E904" t="s">
        <v>23</v>
      </c>
      <c r="F904" t="s">
        <v>41</v>
      </c>
      <c r="G904" s="3">
        <v>42599</v>
      </c>
      <c r="H904">
        <v>328236997</v>
      </c>
      <c r="I904" s="3">
        <v>42623</v>
      </c>
      <c r="J904">
        <v>1476</v>
      </c>
      <c r="K904">
        <v>255.28</v>
      </c>
      <c r="L904">
        <v>159.41999999999999</v>
      </c>
      <c r="M904">
        <f t="shared" si="126"/>
        <v>376793.28</v>
      </c>
      <c r="N904">
        <f t="shared" si="127"/>
        <v>235303.91999999998</v>
      </c>
      <c r="O904">
        <f t="shared" si="128"/>
        <v>141489.36000000004</v>
      </c>
      <c r="P904" s="6">
        <f t="shared" si="129"/>
        <v>0.37550924475086189</v>
      </c>
      <c r="Q904">
        <f t="shared" si="130"/>
        <v>24</v>
      </c>
      <c r="R904">
        <f t="shared" si="131"/>
        <v>2016</v>
      </c>
      <c r="S904" t="str">
        <f t="shared" si="132"/>
        <v>August</v>
      </c>
      <c r="T904">
        <f t="shared" si="133"/>
        <v>8</v>
      </c>
      <c r="U904" t="str">
        <f t="shared" si="134"/>
        <v>Medium Profit</v>
      </c>
    </row>
    <row r="905" spans="1:21" x14ac:dyDescent="0.35">
      <c r="A905" s="5" t="s">
        <v>37</v>
      </c>
      <c r="B905" s="5" t="s">
        <v>318</v>
      </c>
      <c r="C905" t="s">
        <v>83</v>
      </c>
      <c r="D905" t="s">
        <v>1132</v>
      </c>
      <c r="E905" t="s">
        <v>23</v>
      </c>
      <c r="F905" t="s">
        <v>32</v>
      </c>
      <c r="G905" s="3">
        <v>40838</v>
      </c>
      <c r="H905">
        <v>579913604</v>
      </c>
      <c r="I905" s="3">
        <v>40839</v>
      </c>
      <c r="J905">
        <v>8177</v>
      </c>
      <c r="K905">
        <v>81.73</v>
      </c>
      <c r="L905">
        <v>56.67</v>
      </c>
      <c r="M905">
        <f t="shared" si="126"/>
        <v>668306.21000000008</v>
      </c>
      <c r="N905">
        <f t="shared" si="127"/>
        <v>463390.59</v>
      </c>
      <c r="O905">
        <f t="shared" si="128"/>
        <v>204915.62000000005</v>
      </c>
      <c r="P905" s="6">
        <f t="shared" si="129"/>
        <v>0.30661935641747223</v>
      </c>
      <c r="Q905">
        <f t="shared" si="130"/>
        <v>1</v>
      </c>
      <c r="R905">
        <f t="shared" si="131"/>
        <v>2011</v>
      </c>
      <c r="S905" t="str">
        <f t="shared" si="132"/>
        <v>October</v>
      </c>
      <c r="T905">
        <f t="shared" si="133"/>
        <v>10</v>
      </c>
      <c r="U905" t="str">
        <f t="shared" si="134"/>
        <v>Medium Profit</v>
      </c>
    </row>
    <row r="906" spans="1:21" x14ac:dyDescent="0.35">
      <c r="A906" s="5" t="s">
        <v>42</v>
      </c>
      <c r="B906" s="5" t="s">
        <v>390</v>
      </c>
      <c r="C906" t="s">
        <v>21</v>
      </c>
      <c r="D906" t="s">
        <v>1133</v>
      </c>
      <c r="E906" t="s">
        <v>29</v>
      </c>
      <c r="F906" t="s">
        <v>41</v>
      </c>
      <c r="G906" s="3">
        <v>40221</v>
      </c>
      <c r="H906">
        <v>403961122</v>
      </c>
      <c r="I906" s="3">
        <v>40257</v>
      </c>
      <c r="J906">
        <v>9928</v>
      </c>
      <c r="K906">
        <v>437.2</v>
      </c>
      <c r="L906">
        <v>263.33</v>
      </c>
      <c r="M906">
        <f t="shared" si="126"/>
        <v>4340521.5999999996</v>
      </c>
      <c r="N906">
        <f t="shared" si="127"/>
        <v>2614340.2399999998</v>
      </c>
      <c r="O906">
        <f t="shared" si="128"/>
        <v>1726181.3599999999</v>
      </c>
      <c r="P906" s="6">
        <f t="shared" si="129"/>
        <v>0.39768984446477584</v>
      </c>
      <c r="Q906">
        <f t="shared" si="130"/>
        <v>36</v>
      </c>
      <c r="R906">
        <f t="shared" si="131"/>
        <v>2010</v>
      </c>
      <c r="S906" t="str">
        <f t="shared" si="132"/>
        <v>February</v>
      </c>
      <c r="T906">
        <f t="shared" si="133"/>
        <v>2</v>
      </c>
      <c r="U906" t="str">
        <f t="shared" si="134"/>
        <v>High Profit</v>
      </c>
    </row>
    <row r="907" spans="1:21" x14ac:dyDescent="0.35">
      <c r="A907" s="5" t="s">
        <v>50</v>
      </c>
      <c r="B907" s="5" t="s">
        <v>98</v>
      </c>
      <c r="C907" t="s">
        <v>21</v>
      </c>
      <c r="D907" t="s">
        <v>1134</v>
      </c>
      <c r="E907" t="s">
        <v>23</v>
      </c>
      <c r="F907" t="s">
        <v>66</v>
      </c>
      <c r="G907" s="3">
        <v>42884</v>
      </c>
      <c r="H907">
        <v>866053378</v>
      </c>
      <c r="I907" s="3">
        <v>42908</v>
      </c>
      <c r="J907">
        <v>3295</v>
      </c>
      <c r="K907">
        <v>437.2</v>
      </c>
      <c r="L907">
        <v>263.33</v>
      </c>
      <c r="M907">
        <f t="shared" si="126"/>
        <v>1440574</v>
      </c>
      <c r="N907">
        <f t="shared" si="127"/>
        <v>867672.35</v>
      </c>
      <c r="O907">
        <f t="shared" si="128"/>
        <v>572901.65</v>
      </c>
      <c r="P907" s="6">
        <f t="shared" si="129"/>
        <v>0.39768984446477584</v>
      </c>
      <c r="Q907">
        <f t="shared" si="130"/>
        <v>24</v>
      </c>
      <c r="R907">
        <f t="shared" si="131"/>
        <v>2017</v>
      </c>
      <c r="S907" t="str">
        <f t="shared" si="132"/>
        <v>May</v>
      </c>
      <c r="T907">
        <f t="shared" si="133"/>
        <v>5</v>
      </c>
      <c r="U907" t="str">
        <f t="shared" si="134"/>
        <v>High Profit</v>
      </c>
    </row>
    <row r="908" spans="1:21" x14ac:dyDescent="0.35">
      <c r="A908" s="5" t="s">
        <v>42</v>
      </c>
      <c r="B908" s="5" t="s">
        <v>166</v>
      </c>
      <c r="C908" t="s">
        <v>60</v>
      </c>
      <c r="D908" t="s">
        <v>1135</v>
      </c>
      <c r="E908" t="s">
        <v>23</v>
      </c>
      <c r="F908" t="s">
        <v>32</v>
      </c>
      <c r="G908" s="3">
        <v>40285</v>
      </c>
      <c r="H908">
        <v>852176702</v>
      </c>
      <c r="I908" s="3">
        <v>40311</v>
      </c>
      <c r="J908">
        <v>6878</v>
      </c>
      <c r="K908">
        <v>668.27</v>
      </c>
      <c r="L908">
        <v>502.54</v>
      </c>
      <c r="M908">
        <f t="shared" si="126"/>
        <v>4596361.0599999996</v>
      </c>
      <c r="N908">
        <f t="shared" si="127"/>
        <v>3456470.12</v>
      </c>
      <c r="O908">
        <f t="shared" si="128"/>
        <v>1139890.9399999995</v>
      </c>
      <c r="P908" s="6">
        <f t="shared" si="129"/>
        <v>0.24799856345489091</v>
      </c>
      <c r="Q908">
        <f t="shared" si="130"/>
        <v>26</v>
      </c>
      <c r="R908">
        <f t="shared" si="131"/>
        <v>2010</v>
      </c>
      <c r="S908" t="str">
        <f t="shared" si="132"/>
        <v>April</v>
      </c>
      <c r="T908">
        <f t="shared" si="133"/>
        <v>4</v>
      </c>
      <c r="U908" t="str">
        <f t="shared" si="134"/>
        <v>High Profit</v>
      </c>
    </row>
    <row r="909" spans="1:21" x14ac:dyDescent="0.35">
      <c r="A909" s="5" t="s">
        <v>19</v>
      </c>
      <c r="B909" s="5" t="s">
        <v>283</v>
      </c>
      <c r="C909" t="s">
        <v>30</v>
      </c>
      <c r="D909" t="s">
        <v>1136</v>
      </c>
      <c r="E909" t="s">
        <v>29</v>
      </c>
      <c r="F909" t="s">
        <v>24</v>
      </c>
      <c r="G909" s="3">
        <v>42255</v>
      </c>
      <c r="H909">
        <v>218629920</v>
      </c>
      <c r="I909" s="3">
        <v>42297</v>
      </c>
      <c r="J909">
        <v>6307</v>
      </c>
      <c r="K909">
        <v>255.28</v>
      </c>
      <c r="L909">
        <v>159.41999999999999</v>
      </c>
      <c r="M909">
        <f t="shared" si="126"/>
        <v>1610050.96</v>
      </c>
      <c r="N909">
        <f t="shared" si="127"/>
        <v>1005461.94</v>
      </c>
      <c r="O909">
        <f t="shared" si="128"/>
        <v>604589.02</v>
      </c>
      <c r="P909" s="6">
        <f t="shared" si="129"/>
        <v>0.37550924475086184</v>
      </c>
      <c r="Q909">
        <f t="shared" si="130"/>
        <v>42</v>
      </c>
      <c r="R909">
        <f t="shared" si="131"/>
        <v>2015</v>
      </c>
      <c r="S909" t="str">
        <f t="shared" si="132"/>
        <v>September</v>
      </c>
      <c r="T909">
        <f t="shared" si="133"/>
        <v>9</v>
      </c>
      <c r="U909" t="str">
        <f t="shared" si="134"/>
        <v>High Profit</v>
      </c>
    </row>
    <row r="910" spans="1:21" x14ac:dyDescent="0.35">
      <c r="A910" s="5" t="s">
        <v>19</v>
      </c>
      <c r="B910" s="5" t="s">
        <v>283</v>
      </c>
      <c r="C910" t="s">
        <v>30</v>
      </c>
      <c r="D910" t="s">
        <v>1137</v>
      </c>
      <c r="E910" t="s">
        <v>23</v>
      </c>
      <c r="F910" t="s">
        <v>32</v>
      </c>
      <c r="G910" s="3">
        <v>42413</v>
      </c>
      <c r="H910">
        <v>242024362</v>
      </c>
      <c r="I910" s="3">
        <v>42446</v>
      </c>
      <c r="J910">
        <v>9242</v>
      </c>
      <c r="K910">
        <v>255.28</v>
      </c>
      <c r="L910">
        <v>159.41999999999999</v>
      </c>
      <c r="M910">
        <f t="shared" si="126"/>
        <v>2359297.7600000002</v>
      </c>
      <c r="N910">
        <f t="shared" si="127"/>
        <v>1473359.64</v>
      </c>
      <c r="O910">
        <f t="shared" si="128"/>
        <v>885938.12000000034</v>
      </c>
      <c r="P910" s="6">
        <f t="shared" si="129"/>
        <v>0.37550924475086189</v>
      </c>
      <c r="Q910">
        <f t="shared" si="130"/>
        <v>33</v>
      </c>
      <c r="R910">
        <f t="shared" si="131"/>
        <v>2016</v>
      </c>
      <c r="S910" t="str">
        <f t="shared" si="132"/>
        <v>February</v>
      </c>
      <c r="T910">
        <f t="shared" si="133"/>
        <v>2</v>
      </c>
      <c r="U910" t="str">
        <f t="shared" si="134"/>
        <v>High Profit</v>
      </c>
    </row>
    <row r="911" spans="1:21" x14ac:dyDescent="0.35">
      <c r="A911" s="5" t="s">
        <v>42</v>
      </c>
      <c r="B911" s="5" t="s">
        <v>387</v>
      </c>
      <c r="C911" t="s">
        <v>58</v>
      </c>
      <c r="D911" t="s">
        <v>1138</v>
      </c>
      <c r="E911" t="s">
        <v>23</v>
      </c>
      <c r="F911" t="s">
        <v>24</v>
      </c>
      <c r="G911" s="3">
        <v>41686</v>
      </c>
      <c r="H911">
        <v>469283854</v>
      </c>
      <c r="I911" s="3">
        <v>41686</v>
      </c>
      <c r="J911">
        <v>376</v>
      </c>
      <c r="K911">
        <v>152.58000000000001</v>
      </c>
      <c r="L911">
        <v>97.44</v>
      </c>
      <c r="M911">
        <f t="shared" si="126"/>
        <v>57370.080000000002</v>
      </c>
      <c r="N911">
        <f t="shared" si="127"/>
        <v>36637.440000000002</v>
      </c>
      <c r="O911">
        <f t="shared" si="128"/>
        <v>20732.64</v>
      </c>
      <c r="P911" s="6">
        <f t="shared" si="129"/>
        <v>0.36138419189933146</v>
      </c>
      <c r="Q911">
        <f t="shared" si="130"/>
        <v>0</v>
      </c>
      <c r="R911">
        <f t="shared" si="131"/>
        <v>2014</v>
      </c>
      <c r="S911" t="str">
        <f t="shared" si="132"/>
        <v>February</v>
      </c>
      <c r="T911">
        <f t="shared" si="133"/>
        <v>2</v>
      </c>
      <c r="U911" t="str">
        <f t="shared" si="134"/>
        <v>Low Profit</v>
      </c>
    </row>
    <row r="912" spans="1:21" x14ac:dyDescent="0.35">
      <c r="A912" s="5" t="s">
        <v>19</v>
      </c>
      <c r="B912" s="5" t="s">
        <v>210</v>
      </c>
      <c r="C912" t="s">
        <v>39</v>
      </c>
      <c r="D912" t="s">
        <v>1139</v>
      </c>
      <c r="E912" t="s">
        <v>29</v>
      </c>
      <c r="F912" t="s">
        <v>32</v>
      </c>
      <c r="G912" s="3">
        <v>41386</v>
      </c>
      <c r="H912">
        <v>967644727</v>
      </c>
      <c r="I912" s="3">
        <v>41394</v>
      </c>
      <c r="J912">
        <v>6433</v>
      </c>
      <c r="K912">
        <v>9.33</v>
      </c>
      <c r="L912">
        <v>6.92</v>
      </c>
      <c r="M912">
        <f t="shared" si="126"/>
        <v>60019.89</v>
      </c>
      <c r="N912">
        <f t="shared" si="127"/>
        <v>44516.36</v>
      </c>
      <c r="O912">
        <f t="shared" si="128"/>
        <v>15503.529999999999</v>
      </c>
      <c r="P912" s="6">
        <f t="shared" si="129"/>
        <v>0.25830653804930331</v>
      </c>
      <c r="Q912">
        <f t="shared" si="130"/>
        <v>8</v>
      </c>
      <c r="R912">
        <f t="shared" si="131"/>
        <v>2013</v>
      </c>
      <c r="S912" t="str">
        <f t="shared" si="132"/>
        <v>April</v>
      </c>
      <c r="T912">
        <f t="shared" si="133"/>
        <v>4</v>
      </c>
      <c r="U912" t="str">
        <f t="shared" si="134"/>
        <v>Low Profit</v>
      </c>
    </row>
    <row r="913" spans="1:21" x14ac:dyDescent="0.35">
      <c r="A913" s="5" t="s">
        <v>50</v>
      </c>
      <c r="B913" s="5" t="s">
        <v>969</v>
      </c>
      <c r="C913" t="s">
        <v>21</v>
      </c>
      <c r="D913" t="s">
        <v>1140</v>
      </c>
      <c r="E913" t="s">
        <v>23</v>
      </c>
      <c r="F913" t="s">
        <v>66</v>
      </c>
      <c r="G913" s="3">
        <v>41835</v>
      </c>
      <c r="H913">
        <v>974655807</v>
      </c>
      <c r="I913" s="3">
        <v>41843</v>
      </c>
      <c r="J913">
        <v>1167</v>
      </c>
      <c r="K913">
        <v>437.2</v>
      </c>
      <c r="L913">
        <v>263.33</v>
      </c>
      <c r="M913">
        <f t="shared" si="126"/>
        <v>510212.39999999997</v>
      </c>
      <c r="N913">
        <f t="shared" si="127"/>
        <v>307306.11</v>
      </c>
      <c r="O913">
        <f t="shared" si="128"/>
        <v>202906.28999999998</v>
      </c>
      <c r="P913" s="6">
        <f t="shared" si="129"/>
        <v>0.39768984446477584</v>
      </c>
      <c r="Q913">
        <f t="shared" si="130"/>
        <v>8</v>
      </c>
      <c r="R913">
        <f t="shared" si="131"/>
        <v>2014</v>
      </c>
      <c r="S913" t="str">
        <f t="shared" si="132"/>
        <v>July</v>
      </c>
      <c r="T913">
        <f t="shared" si="133"/>
        <v>7</v>
      </c>
      <c r="U913" t="str">
        <f t="shared" si="134"/>
        <v>Medium Profit</v>
      </c>
    </row>
    <row r="914" spans="1:21" x14ac:dyDescent="0.35">
      <c r="A914" s="5" t="s">
        <v>42</v>
      </c>
      <c r="B914" s="5" t="s">
        <v>174</v>
      </c>
      <c r="C914" t="s">
        <v>27</v>
      </c>
      <c r="D914" t="s">
        <v>1141</v>
      </c>
      <c r="E914" t="s">
        <v>29</v>
      </c>
      <c r="F914" t="s">
        <v>24</v>
      </c>
      <c r="G914" s="3">
        <v>40975</v>
      </c>
      <c r="H914">
        <v>248178422</v>
      </c>
      <c r="I914" s="3">
        <v>40990</v>
      </c>
      <c r="J914">
        <v>365</v>
      </c>
      <c r="K914">
        <v>154.06</v>
      </c>
      <c r="L914">
        <v>90.93</v>
      </c>
      <c r="M914">
        <f t="shared" si="126"/>
        <v>56231.9</v>
      </c>
      <c r="N914">
        <f t="shared" si="127"/>
        <v>33189.450000000004</v>
      </c>
      <c r="O914">
        <f t="shared" si="128"/>
        <v>23042.449999999997</v>
      </c>
      <c r="P914" s="6">
        <f t="shared" si="129"/>
        <v>0.40977541217707381</v>
      </c>
      <c r="Q914">
        <f t="shared" si="130"/>
        <v>15</v>
      </c>
      <c r="R914">
        <f t="shared" si="131"/>
        <v>2012</v>
      </c>
      <c r="S914" t="str">
        <f t="shared" si="132"/>
        <v>March</v>
      </c>
      <c r="T914">
        <f t="shared" si="133"/>
        <v>3</v>
      </c>
      <c r="U914" t="str">
        <f t="shared" si="134"/>
        <v>Low Profit</v>
      </c>
    </row>
    <row r="915" spans="1:21" x14ac:dyDescent="0.35">
      <c r="A915" s="5" t="s">
        <v>33</v>
      </c>
      <c r="B915" s="5" t="s">
        <v>372</v>
      </c>
      <c r="C915" t="s">
        <v>27</v>
      </c>
      <c r="D915" t="s">
        <v>1142</v>
      </c>
      <c r="E915" t="s">
        <v>23</v>
      </c>
      <c r="F915" t="s">
        <v>66</v>
      </c>
      <c r="G915" s="3">
        <v>41288</v>
      </c>
      <c r="H915">
        <v>416386401</v>
      </c>
      <c r="I915" s="3">
        <v>41321</v>
      </c>
      <c r="J915">
        <v>6844</v>
      </c>
      <c r="K915">
        <v>154.06</v>
      </c>
      <c r="L915">
        <v>90.93</v>
      </c>
      <c r="M915">
        <f t="shared" si="126"/>
        <v>1054386.6400000001</v>
      </c>
      <c r="N915">
        <f t="shared" si="127"/>
        <v>622324.92000000004</v>
      </c>
      <c r="O915">
        <f t="shared" si="128"/>
        <v>432061.72000000009</v>
      </c>
      <c r="P915" s="6">
        <f t="shared" si="129"/>
        <v>0.40977541217707392</v>
      </c>
      <c r="Q915">
        <f t="shared" si="130"/>
        <v>33</v>
      </c>
      <c r="R915">
        <f t="shared" si="131"/>
        <v>2013</v>
      </c>
      <c r="S915" t="str">
        <f t="shared" si="132"/>
        <v>January</v>
      </c>
      <c r="T915">
        <f t="shared" si="133"/>
        <v>1</v>
      </c>
      <c r="U915" t="str">
        <f t="shared" si="134"/>
        <v>Medium Profit</v>
      </c>
    </row>
    <row r="916" spans="1:21" x14ac:dyDescent="0.35">
      <c r="A916" s="5" t="s">
        <v>42</v>
      </c>
      <c r="B916" s="5" t="s">
        <v>759</v>
      </c>
      <c r="C916" t="s">
        <v>58</v>
      </c>
      <c r="D916" t="s">
        <v>1143</v>
      </c>
      <c r="E916" t="s">
        <v>23</v>
      </c>
      <c r="F916" t="s">
        <v>66</v>
      </c>
      <c r="G916" s="3">
        <v>42877</v>
      </c>
      <c r="H916">
        <v>927766072</v>
      </c>
      <c r="I916" s="3">
        <v>42906</v>
      </c>
      <c r="J916">
        <v>5453</v>
      </c>
      <c r="K916">
        <v>152.58000000000001</v>
      </c>
      <c r="L916">
        <v>97.44</v>
      </c>
      <c r="M916">
        <f t="shared" si="126"/>
        <v>832018.74000000011</v>
      </c>
      <c r="N916">
        <f t="shared" si="127"/>
        <v>531340.31999999995</v>
      </c>
      <c r="O916">
        <f t="shared" si="128"/>
        <v>300678.42000000016</v>
      </c>
      <c r="P916" s="6">
        <f t="shared" si="129"/>
        <v>0.36138419189933163</v>
      </c>
      <c r="Q916">
        <f t="shared" si="130"/>
        <v>29</v>
      </c>
      <c r="R916">
        <f t="shared" si="131"/>
        <v>2017</v>
      </c>
      <c r="S916" t="str">
        <f t="shared" si="132"/>
        <v>May</v>
      </c>
      <c r="T916">
        <f t="shared" si="133"/>
        <v>5</v>
      </c>
      <c r="U916" t="str">
        <f t="shared" si="134"/>
        <v>Medium Profit</v>
      </c>
    </row>
    <row r="917" spans="1:21" x14ac:dyDescent="0.35">
      <c r="A917" s="5" t="s">
        <v>42</v>
      </c>
      <c r="B917" s="5" t="s">
        <v>363</v>
      </c>
      <c r="C917" t="s">
        <v>27</v>
      </c>
      <c r="D917" t="s">
        <v>1144</v>
      </c>
      <c r="E917" t="s">
        <v>29</v>
      </c>
      <c r="F917" t="s">
        <v>24</v>
      </c>
      <c r="G917" s="3">
        <v>42086</v>
      </c>
      <c r="H917">
        <v>401116263</v>
      </c>
      <c r="I917" s="3">
        <v>42094</v>
      </c>
      <c r="J917">
        <v>8071</v>
      </c>
      <c r="K917">
        <v>154.06</v>
      </c>
      <c r="L917">
        <v>90.93</v>
      </c>
      <c r="M917">
        <f t="shared" si="126"/>
        <v>1243418.26</v>
      </c>
      <c r="N917">
        <f t="shared" si="127"/>
        <v>733896.03</v>
      </c>
      <c r="O917">
        <f t="shared" si="128"/>
        <v>509522.23</v>
      </c>
      <c r="P917" s="6">
        <f t="shared" si="129"/>
        <v>0.40977541217707386</v>
      </c>
      <c r="Q917">
        <f t="shared" si="130"/>
        <v>8</v>
      </c>
      <c r="R917">
        <f t="shared" si="131"/>
        <v>2015</v>
      </c>
      <c r="S917" t="str">
        <f t="shared" si="132"/>
        <v>March</v>
      </c>
      <c r="T917">
        <f t="shared" si="133"/>
        <v>3</v>
      </c>
      <c r="U917" t="str">
        <f t="shared" si="134"/>
        <v>High Profit</v>
      </c>
    </row>
    <row r="918" spans="1:21" x14ac:dyDescent="0.35">
      <c r="A918" s="5" t="s">
        <v>19</v>
      </c>
      <c r="B918" s="5" t="s">
        <v>310</v>
      </c>
      <c r="C918" t="s">
        <v>39</v>
      </c>
      <c r="D918" t="s">
        <v>1145</v>
      </c>
      <c r="E918" t="s">
        <v>23</v>
      </c>
      <c r="F918" t="s">
        <v>41</v>
      </c>
      <c r="G918" s="3">
        <v>41180</v>
      </c>
      <c r="H918">
        <v>675548303</v>
      </c>
      <c r="I918" s="3">
        <v>41219</v>
      </c>
      <c r="J918">
        <v>8610</v>
      </c>
      <c r="K918">
        <v>9.33</v>
      </c>
      <c r="L918">
        <v>6.92</v>
      </c>
      <c r="M918">
        <f t="shared" si="126"/>
        <v>80331.3</v>
      </c>
      <c r="N918">
        <f t="shared" si="127"/>
        <v>59581.2</v>
      </c>
      <c r="O918">
        <f t="shared" si="128"/>
        <v>20750.100000000006</v>
      </c>
      <c r="P918" s="6">
        <f t="shared" si="129"/>
        <v>0.25830653804930337</v>
      </c>
      <c r="Q918">
        <f t="shared" si="130"/>
        <v>39</v>
      </c>
      <c r="R918">
        <f t="shared" si="131"/>
        <v>2012</v>
      </c>
      <c r="S918" t="str">
        <f t="shared" si="132"/>
        <v>September</v>
      </c>
      <c r="T918">
        <f t="shared" si="133"/>
        <v>9</v>
      </c>
      <c r="U918" t="str">
        <f t="shared" si="134"/>
        <v>Low Profit</v>
      </c>
    </row>
    <row r="919" spans="1:21" x14ac:dyDescent="0.35">
      <c r="A919" s="5" t="s">
        <v>37</v>
      </c>
      <c r="B919" s="5" t="s">
        <v>318</v>
      </c>
      <c r="C919" t="s">
        <v>30</v>
      </c>
      <c r="D919" t="s">
        <v>1146</v>
      </c>
      <c r="E919" t="s">
        <v>29</v>
      </c>
      <c r="F919" t="s">
        <v>66</v>
      </c>
      <c r="G919" s="3">
        <v>41431</v>
      </c>
      <c r="H919">
        <v>960486018</v>
      </c>
      <c r="I919" s="3">
        <v>41459</v>
      </c>
      <c r="J919">
        <v>8012</v>
      </c>
      <c r="K919">
        <v>255.28</v>
      </c>
      <c r="L919">
        <v>159.41999999999999</v>
      </c>
      <c r="M919">
        <f t="shared" si="126"/>
        <v>2045303.36</v>
      </c>
      <c r="N919">
        <f t="shared" si="127"/>
        <v>1277273.0399999998</v>
      </c>
      <c r="O919">
        <f t="shared" si="128"/>
        <v>768030.3200000003</v>
      </c>
      <c r="P919" s="6">
        <f t="shared" si="129"/>
        <v>0.37550924475086195</v>
      </c>
      <c r="Q919">
        <f t="shared" si="130"/>
        <v>28</v>
      </c>
      <c r="R919">
        <f t="shared" si="131"/>
        <v>2013</v>
      </c>
      <c r="S919" t="str">
        <f t="shared" si="132"/>
        <v>June</v>
      </c>
      <c r="T919">
        <f t="shared" si="133"/>
        <v>6</v>
      </c>
      <c r="U919" t="str">
        <f t="shared" si="134"/>
        <v>High Profit</v>
      </c>
    </row>
    <row r="920" spans="1:21" x14ac:dyDescent="0.35">
      <c r="A920" s="5" t="s">
        <v>50</v>
      </c>
      <c r="B920" s="5" t="s">
        <v>195</v>
      </c>
      <c r="C920" t="s">
        <v>48</v>
      </c>
      <c r="D920" t="s">
        <v>1147</v>
      </c>
      <c r="E920" t="s">
        <v>23</v>
      </c>
      <c r="F920" t="s">
        <v>66</v>
      </c>
      <c r="G920" s="3">
        <v>41731</v>
      </c>
      <c r="H920">
        <v>985665738</v>
      </c>
      <c r="I920" s="3">
        <v>41778</v>
      </c>
      <c r="J920">
        <v>9250</v>
      </c>
      <c r="K920">
        <v>109.28</v>
      </c>
      <c r="L920">
        <v>35.840000000000003</v>
      </c>
      <c r="M920">
        <f t="shared" si="126"/>
        <v>1010840</v>
      </c>
      <c r="N920">
        <f t="shared" si="127"/>
        <v>331520.00000000006</v>
      </c>
      <c r="O920">
        <f t="shared" si="128"/>
        <v>679320</v>
      </c>
      <c r="P920" s="6">
        <f t="shared" si="129"/>
        <v>0.67203513909224011</v>
      </c>
      <c r="Q920">
        <f t="shared" si="130"/>
        <v>47</v>
      </c>
      <c r="R920">
        <f t="shared" si="131"/>
        <v>2014</v>
      </c>
      <c r="S920" t="str">
        <f t="shared" si="132"/>
        <v>April</v>
      </c>
      <c r="T920">
        <f t="shared" si="133"/>
        <v>4</v>
      </c>
      <c r="U920" t="str">
        <f t="shared" si="134"/>
        <v>High Profit</v>
      </c>
    </row>
    <row r="921" spans="1:21" x14ac:dyDescent="0.35">
      <c r="A921" s="5" t="s">
        <v>19</v>
      </c>
      <c r="B921" s="5" t="s">
        <v>210</v>
      </c>
      <c r="C921" t="s">
        <v>48</v>
      </c>
      <c r="D921" t="s">
        <v>1148</v>
      </c>
      <c r="E921" t="s">
        <v>23</v>
      </c>
      <c r="F921" t="s">
        <v>32</v>
      </c>
      <c r="G921" s="3">
        <v>42748</v>
      </c>
      <c r="H921">
        <v>551136291</v>
      </c>
      <c r="I921" s="3">
        <v>42748</v>
      </c>
      <c r="J921">
        <v>2331</v>
      </c>
      <c r="K921">
        <v>109.28</v>
      </c>
      <c r="L921">
        <v>35.840000000000003</v>
      </c>
      <c r="M921">
        <f t="shared" si="126"/>
        <v>254731.68</v>
      </c>
      <c r="N921">
        <f t="shared" si="127"/>
        <v>83543.040000000008</v>
      </c>
      <c r="O921">
        <f t="shared" si="128"/>
        <v>171188.63999999998</v>
      </c>
      <c r="P921" s="6">
        <f t="shared" si="129"/>
        <v>0.67203513909224011</v>
      </c>
      <c r="Q921">
        <f t="shared" si="130"/>
        <v>0</v>
      </c>
      <c r="R921">
        <f t="shared" si="131"/>
        <v>2017</v>
      </c>
      <c r="S921" t="str">
        <f t="shared" si="132"/>
        <v>January</v>
      </c>
      <c r="T921">
        <f t="shared" si="133"/>
        <v>1</v>
      </c>
      <c r="U921" t="str">
        <f t="shared" si="134"/>
        <v>Medium Profit</v>
      </c>
    </row>
    <row r="922" spans="1:21" x14ac:dyDescent="0.35">
      <c r="A922" s="5" t="s">
        <v>53</v>
      </c>
      <c r="B922" s="5" t="s">
        <v>131</v>
      </c>
      <c r="C922" t="s">
        <v>35</v>
      </c>
      <c r="D922" t="s">
        <v>1149</v>
      </c>
      <c r="E922" t="s">
        <v>29</v>
      </c>
      <c r="F922" t="s">
        <v>66</v>
      </c>
      <c r="G922" s="3">
        <v>42769</v>
      </c>
      <c r="H922">
        <v>877259004</v>
      </c>
      <c r="I922" s="3">
        <v>42782</v>
      </c>
      <c r="J922">
        <v>9289</v>
      </c>
      <c r="K922">
        <v>205.7</v>
      </c>
      <c r="L922">
        <v>117.11</v>
      </c>
      <c r="M922">
        <f t="shared" si="126"/>
        <v>1910747.2999999998</v>
      </c>
      <c r="N922">
        <f t="shared" si="127"/>
        <v>1087834.79</v>
      </c>
      <c r="O922">
        <f t="shared" si="128"/>
        <v>822912.50999999978</v>
      </c>
      <c r="P922" s="6">
        <f t="shared" si="129"/>
        <v>0.43067574137092846</v>
      </c>
      <c r="Q922">
        <f t="shared" si="130"/>
        <v>13</v>
      </c>
      <c r="R922">
        <f t="shared" si="131"/>
        <v>2017</v>
      </c>
      <c r="S922" t="str">
        <f t="shared" si="132"/>
        <v>February</v>
      </c>
      <c r="T922">
        <f t="shared" si="133"/>
        <v>2</v>
      </c>
      <c r="U922" t="str">
        <f t="shared" si="134"/>
        <v>High Profit</v>
      </c>
    </row>
    <row r="923" spans="1:21" x14ac:dyDescent="0.35">
      <c r="A923" s="5" t="s">
        <v>33</v>
      </c>
      <c r="B923" s="5" t="s">
        <v>129</v>
      </c>
      <c r="C923" t="s">
        <v>72</v>
      </c>
      <c r="D923" t="s">
        <v>1150</v>
      </c>
      <c r="E923" t="s">
        <v>23</v>
      </c>
      <c r="F923" t="s">
        <v>24</v>
      </c>
      <c r="G923" s="3">
        <v>41856</v>
      </c>
      <c r="H923">
        <v>554707705</v>
      </c>
      <c r="I923" s="3">
        <v>41901</v>
      </c>
      <c r="J923">
        <v>9192</v>
      </c>
      <c r="K923">
        <v>47.45</v>
      </c>
      <c r="L923">
        <v>31.79</v>
      </c>
      <c r="M923">
        <f t="shared" si="126"/>
        <v>436160.4</v>
      </c>
      <c r="N923">
        <f t="shared" si="127"/>
        <v>292213.68</v>
      </c>
      <c r="O923">
        <f t="shared" si="128"/>
        <v>143946.72000000003</v>
      </c>
      <c r="P923" s="6">
        <f t="shared" si="129"/>
        <v>0.33003161222339311</v>
      </c>
      <c r="Q923">
        <f t="shared" si="130"/>
        <v>45</v>
      </c>
      <c r="R923">
        <f t="shared" si="131"/>
        <v>2014</v>
      </c>
      <c r="S923" t="str">
        <f t="shared" si="132"/>
        <v>August</v>
      </c>
      <c r="T923">
        <f t="shared" si="133"/>
        <v>8</v>
      </c>
      <c r="U923" t="str">
        <f t="shared" si="134"/>
        <v>Medium Profit</v>
      </c>
    </row>
    <row r="924" spans="1:21" x14ac:dyDescent="0.35">
      <c r="A924" s="5" t="s">
        <v>53</v>
      </c>
      <c r="B924" s="5" t="s">
        <v>402</v>
      </c>
      <c r="C924" t="s">
        <v>35</v>
      </c>
      <c r="D924" t="s">
        <v>1151</v>
      </c>
      <c r="E924" t="s">
        <v>23</v>
      </c>
      <c r="F924" t="s">
        <v>66</v>
      </c>
      <c r="G924" s="3">
        <v>40457</v>
      </c>
      <c r="H924">
        <v>494468724</v>
      </c>
      <c r="I924" s="3">
        <v>40474</v>
      </c>
      <c r="J924">
        <v>3139</v>
      </c>
      <c r="K924">
        <v>205.7</v>
      </c>
      <c r="L924">
        <v>117.11</v>
      </c>
      <c r="M924">
        <f t="shared" si="126"/>
        <v>645692.29999999993</v>
      </c>
      <c r="N924">
        <f t="shared" si="127"/>
        <v>367608.29</v>
      </c>
      <c r="O924">
        <f t="shared" si="128"/>
        <v>278084.00999999995</v>
      </c>
      <c r="P924" s="6">
        <f t="shared" si="129"/>
        <v>0.43067574137092851</v>
      </c>
      <c r="Q924">
        <f t="shared" si="130"/>
        <v>17</v>
      </c>
      <c r="R924">
        <f t="shared" si="131"/>
        <v>2010</v>
      </c>
      <c r="S924" t="str">
        <f t="shared" si="132"/>
        <v>October</v>
      </c>
      <c r="T924">
        <f t="shared" si="133"/>
        <v>10</v>
      </c>
      <c r="U924" t="str">
        <f t="shared" si="134"/>
        <v>Medium Profit</v>
      </c>
    </row>
    <row r="925" spans="1:21" x14ac:dyDescent="0.35">
      <c r="A925" s="5" t="s">
        <v>33</v>
      </c>
      <c r="B925" s="5" t="s">
        <v>655</v>
      </c>
      <c r="C925" t="s">
        <v>83</v>
      </c>
      <c r="D925" t="s">
        <v>1152</v>
      </c>
      <c r="E925" t="s">
        <v>29</v>
      </c>
      <c r="F925" t="s">
        <v>41</v>
      </c>
      <c r="G925" s="3">
        <v>40796</v>
      </c>
      <c r="H925">
        <v>777840888</v>
      </c>
      <c r="I925" s="3">
        <v>40839</v>
      </c>
      <c r="J925">
        <v>9259</v>
      </c>
      <c r="K925">
        <v>81.73</v>
      </c>
      <c r="L925">
        <v>56.67</v>
      </c>
      <c r="M925">
        <f t="shared" si="126"/>
        <v>756738.07000000007</v>
      </c>
      <c r="N925">
        <f t="shared" si="127"/>
        <v>524707.53</v>
      </c>
      <c r="O925">
        <f t="shared" si="128"/>
        <v>232030.54000000004</v>
      </c>
      <c r="P925" s="6">
        <f t="shared" si="129"/>
        <v>0.30661935641747218</v>
      </c>
      <c r="Q925">
        <f t="shared" si="130"/>
        <v>43</v>
      </c>
      <c r="R925">
        <f t="shared" si="131"/>
        <v>2011</v>
      </c>
      <c r="S925" t="str">
        <f t="shared" si="132"/>
        <v>September</v>
      </c>
      <c r="T925">
        <f t="shared" si="133"/>
        <v>9</v>
      </c>
      <c r="U925" t="str">
        <f t="shared" si="134"/>
        <v>Medium Profit</v>
      </c>
    </row>
    <row r="926" spans="1:21" x14ac:dyDescent="0.35">
      <c r="A926" s="5" t="s">
        <v>42</v>
      </c>
      <c r="B926" s="5" t="s">
        <v>361</v>
      </c>
      <c r="C926" t="s">
        <v>30</v>
      </c>
      <c r="D926" t="s">
        <v>1153</v>
      </c>
      <c r="E926" t="s">
        <v>23</v>
      </c>
      <c r="F926" t="s">
        <v>32</v>
      </c>
      <c r="G926" s="3">
        <v>42716</v>
      </c>
      <c r="H926">
        <v>206435525</v>
      </c>
      <c r="I926" s="3">
        <v>42762</v>
      </c>
      <c r="J926">
        <v>7714</v>
      </c>
      <c r="K926">
        <v>255.28</v>
      </c>
      <c r="L926">
        <v>159.41999999999999</v>
      </c>
      <c r="M926">
        <f t="shared" si="126"/>
        <v>1969229.92</v>
      </c>
      <c r="N926">
        <f t="shared" si="127"/>
        <v>1229765.8799999999</v>
      </c>
      <c r="O926">
        <f t="shared" si="128"/>
        <v>739464.04</v>
      </c>
      <c r="P926" s="6">
        <f t="shared" si="129"/>
        <v>0.37550924475086184</v>
      </c>
      <c r="Q926">
        <f t="shared" si="130"/>
        <v>46</v>
      </c>
      <c r="R926">
        <f t="shared" si="131"/>
        <v>2016</v>
      </c>
      <c r="S926" t="str">
        <f t="shared" si="132"/>
        <v>December</v>
      </c>
      <c r="T926">
        <f t="shared" si="133"/>
        <v>12</v>
      </c>
      <c r="U926" t="str">
        <f t="shared" si="134"/>
        <v>High Profit</v>
      </c>
    </row>
    <row r="927" spans="1:21" x14ac:dyDescent="0.35">
      <c r="A927" s="5" t="s">
        <v>19</v>
      </c>
      <c r="B927" s="5" t="s">
        <v>82</v>
      </c>
      <c r="C927" t="s">
        <v>69</v>
      </c>
      <c r="D927" t="s">
        <v>1154</v>
      </c>
      <c r="E927" t="s">
        <v>29</v>
      </c>
      <c r="F927" t="s">
        <v>32</v>
      </c>
      <c r="G927" s="3">
        <v>42303</v>
      </c>
      <c r="H927">
        <v>352176463</v>
      </c>
      <c r="I927" s="3">
        <v>42343</v>
      </c>
      <c r="J927">
        <v>5696</v>
      </c>
      <c r="K927">
        <v>651.21</v>
      </c>
      <c r="L927">
        <v>524.96</v>
      </c>
      <c r="M927">
        <f t="shared" si="126"/>
        <v>3709292.16</v>
      </c>
      <c r="N927">
        <f t="shared" si="127"/>
        <v>2990172.1600000001</v>
      </c>
      <c r="O927">
        <f t="shared" si="128"/>
        <v>719120</v>
      </c>
      <c r="P927" s="6">
        <f t="shared" si="129"/>
        <v>0.19386987300563566</v>
      </c>
      <c r="Q927">
        <f t="shared" si="130"/>
        <v>40</v>
      </c>
      <c r="R927">
        <f t="shared" si="131"/>
        <v>2015</v>
      </c>
      <c r="S927" t="str">
        <f t="shared" si="132"/>
        <v>October</v>
      </c>
      <c r="T927">
        <f t="shared" si="133"/>
        <v>10</v>
      </c>
      <c r="U927" t="str">
        <f t="shared" si="134"/>
        <v>High Profit</v>
      </c>
    </row>
    <row r="928" spans="1:21" x14ac:dyDescent="0.35">
      <c r="A928" s="5" t="s">
        <v>53</v>
      </c>
      <c r="B928" s="5" t="s">
        <v>131</v>
      </c>
      <c r="C928" t="s">
        <v>21</v>
      </c>
      <c r="D928" t="s">
        <v>1155</v>
      </c>
      <c r="E928" t="s">
        <v>23</v>
      </c>
      <c r="F928" t="s">
        <v>32</v>
      </c>
      <c r="G928" s="3">
        <v>41561</v>
      </c>
      <c r="H928">
        <v>607300031</v>
      </c>
      <c r="I928" s="3">
        <v>41561</v>
      </c>
      <c r="J928">
        <v>2429</v>
      </c>
      <c r="K928">
        <v>437.2</v>
      </c>
      <c r="L928">
        <v>263.33</v>
      </c>
      <c r="M928">
        <f t="shared" si="126"/>
        <v>1061958.8</v>
      </c>
      <c r="N928">
        <f t="shared" si="127"/>
        <v>639628.56999999995</v>
      </c>
      <c r="O928">
        <f t="shared" si="128"/>
        <v>422330.2300000001</v>
      </c>
      <c r="P928" s="6">
        <f t="shared" si="129"/>
        <v>0.3976898444647759</v>
      </c>
      <c r="Q928">
        <f t="shared" si="130"/>
        <v>0</v>
      </c>
      <c r="R928">
        <f t="shared" si="131"/>
        <v>2013</v>
      </c>
      <c r="S928" t="str">
        <f t="shared" si="132"/>
        <v>October</v>
      </c>
      <c r="T928">
        <f t="shared" si="133"/>
        <v>10</v>
      </c>
      <c r="U928" t="str">
        <f t="shared" si="134"/>
        <v>Medium Profit</v>
      </c>
    </row>
    <row r="929" spans="1:21" x14ac:dyDescent="0.35">
      <c r="A929" s="5" t="s">
        <v>25</v>
      </c>
      <c r="B929" s="5" t="s">
        <v>334</v>
      </c>
      <c r="C929" t="s">
        <v>30</v>
      </c>
      <c r="D929" t="s">
        <v>1156</v>
      </c>
      <c r="E929" t="s">
        <v>29</v>
      </c>
      <c r="F929" t="s">
        <v>41</v>
      </c>
      <c r="G929" s="3">
        <v>41503</v>
      </c>
      <c r="H929">
        <v>434355056</v>
      </c>
      <c r="I929" s="3">
        <v>41545</v>
      </c>
      <c r="J929">
        <v>4168</v>
      </c>
      <c r="K929">
        <v>255.28</v>
      </c>
      <c r="L929">
        <v>159.41999999999999</v>
      </c>
      <c r="M929">
        <f t="shared" si="126"/>
        <v>1064007.04</v>
      </c>
      <c r="N929">
        <f t="shared" si="127"/>
        <v>664462.55999999994</v>
      </c>
      <c r="O929">
        <f t="shared" si="128"/>
        <v>399544.4800000001</v>
      </c>
      <c r="P929" s="6">
        <f t="shared" si="129"/>
        <v>0.37550924475086189</v>
      </c>
      <c r="Q929">
        <f t="shared" si="130"/>
        <v>42</v>
      </c>
      <c r="R929">
        <f t="shared" si="131"/>
        <v>2013</v>
      </c>
      <c r="S929" t="str">
        <f t="shared" si="132"/>
        <v>August</v>
      </c>
      <c r="T929">
        <f t="shared" si="133"/>
        <v>8</v>
      </c>
      <c r="U929" t="str">
        <f t="shared" si="134"/>
        <v>Medium Profit</v>
      </c>
    </row>
    <row r="930" spans="1:21" x14ac:dyDescent="0.35">
      <c r="A930" s="5" t="s">
        <v>42</v>
      </c>
      <c r="B930" s="5" t="s">
        <v>267</v>
      </c>
      <c r="C930" t="s">
        <v>39</v>
      </c>
      <c r="D930" t="s">
        <v>1157</v>
      </c>
      <c r="E930" t="s">
        <v>23</v>
      </c>
      <c r="F930" t="s">
        <v>24</v>
      </c>
      <c r="G930" s="3">
        <v>40762</v>
      </c>
      <c r="H930">
        <v>716202867</v>
      </c>
      <c r="I930" s="3">
        <v>40806</v>
      </c>
      <c r="J930">
        <v>9199</v>
      </c>
      <c r="K930">
        <v>9.33</v>
      </c>
      <c r="L930">
        <v>6.92</v>
      </c>
      <c r="M930">
        <f t="shared" si="126"/>
        <v>85826.67</v>
      </c>
      <c r="N930">
        <f t="shared" si="127"/>
        <v>63657.08</v>
      </c>
      <c r="O930">
        <f t="shared" si="128"/>
        <v>22169.589999999997</v>
      </c>
      <c r="P930" s="6">
        <f t="shared" si="129"/>
        <v>0.25830653804930331</v>
      </c>
      <c r="Q930">
        <f t="shared" si="130"/>
        <v>44</v>
      </c>
      <c r="R930">
        <f t="shared" si="131"/>
        <v>2011</v>
      </c>
      <c r="S930" t="str">
        <f t="shared" si="132"/>
        <v>August</v>
      </c>
      <c r="T930">
        <f t="shared" si="133"/>
        <v>8</v>
      </c>
      <c r="U930" t="str">
        <f t="shared" si="134"/>
        <v>Low Profit</v>
      </c>
    </row>
    <row r="931" spans="1:21" x14ac:dyDescent="0.35">
      <c r="A931" s="5" t="s">
        <v>50</v>
      </c>
      <c r="B931" s="5" t="s">
        <v>152</v>
      </c>
      <c r="C931" t="s">
        <v>83</v>
      </c>
      <c r="D931" t="s">
        <v>1158</v>
      </c>
      <c r="E931" t="s">
        <v>29</v>
      </c>
      <c r="F931" t="s">
        <v>41</v>
      </c>
      <c r="G931" s="3">
        <v>42512</v>
      </c>
      <c r="H931">
        <v>606017291</v>
      </c>
      <c r="I931" s="3">
        <v>42533</v>
      </c>
      <c r="J931">
        <v>2838</v>
      </c>
      <c r="K931">
        <v>81.73</v>
      </c>
      <c r="L931">
        <v>56.67</v>
      </c>
      <c r="M931">
        <f t="shared" si="126"/>
        <v>231949.74000000002</v>
      </c>
      <c r="N931">
        <f t="shared" si="127"/>
        <v>160829.46</v>
      </c>
      <c r="O931">
        <f t="shared" si="128"/>
        <v>71120.280000000028</v>
      </c>
      <c r="P931" s="6">
        <f t="shared" si="129"/>
        <v>0.30661935641747223</v>
      </c>
      <c r="Q931">
        <f t="shared" si="130"/>
        <v>21</v>
      </c>
      <c r="R931">
        <f t="shared" si="131"/>
        <v>2016</v>
      </c>
      <c r="S931" t="str">
        <f t="shared" si="132"/>
        <v>May</v>
      </c>
      <c r="T931">
        <f t="shared" si="133"/>
        <v>5</v>
      </c>
      <c r="U931" t="str">
        <f t="shared" si="134"/>
        <v>Low Profit</v>
      </c>
    </row>
    <row r="932" spans="1:21" x14ac:dyDescent="0.35">
      <c r="A932" s="5" t="s">
        <v>33</v>
      </c>
      <c r="B932" s="5" t="s">
        <v>147</v>
      </c>
      <c r="C932" t="s">
        <v>35</v>
      </c>
      <c r="D932" t="s">
        <v>1159</v>
      </c>
      <c r="E932" t="s">
        <v>23</v>
      </c>
      <c r="F932" t="s">
        <v>41</v>
      </c>
      <c r="G932" s="3">
        <v>42017</v>
      </c>
      <c r="H932">
        <v>677284657</v>
      </c>
      <c r="I932" s="3">
        <v>42019</v>
      </c>
      <c r="J932">
        <v>2436</v>
      </c>
      <c r="K932">
        <v>205.7</v>
      </c>
      <c r="L932">
        <v>117.11</v>
      </c>
      <c r="M932">
        <f t="shared" si="126"/>
        <v>501085.19999999995</v>
      </c>
      <c r="N932">
        <f t="shared" si="127"/>
        <v>285279.96000000002</v>
      </c>
      <c r="O932">
        <f t="shared" si="128"/>
        <v>215805.23999999993</v>
      </c>
      <c r="P932" s="6">
        <f t="shared" si="129"/>
        <v>0.43067574137092846</v>
      </c>
      <c r="Q932">
        <f t="shared" si="130"/>
        <v>2</v>
      </c>
      <c r="R932">
        <f t="shared" si="131"/>
        <v>2015</v>
      </c>
      <c r="S932" t="str">
        <f t="shared" si="132"/>
        <v>January</v>
      </c>
      <c r="T932">
        <f t="shared" si="133"/>
        <v>1</v>
      </c>
      <c r="U932" t="str">
        <f t="shared" si="134"/>
        <v>Medium Profit</v>
      </c>
    </row>
    <row r="933" spans="1:21" x14ac:dyDescent="0.35">
      <c r="A933" s="5" t="s">
        <v>33</v>
      </c>
      <c r="B933" s="5" t="s">
        <v>147</v>
      </c>
      <c r="C933" t="s">
        <v>39</v>
      </c>
      <c r="D933" t="s">
        <v>1160</v>
      </c>
      <c r="E933" t="s">
        <v>29</v>
      </c>
      <c r="F933" t="s">
        <v>32</v>
      </c>
      <c r="G933" s="3">
        <v>41842</v>
      </c>
      <c r="H933">
        <v>673803794</v>
      </c>
      <c r="I933" s="3">
        <v>41849</v>
      </c>
      <c r="J933">
        <v>2371</v>
      </c>
      <c r="K933">
        <v>9.33</v>
      </c>
      <c r="L933">
        <v>6.92</v>
      </c>
      <c r="M933">
        <f t="shared" si="126"/>
        <v>22121.43</v>
      </c>
      <c r="N933">
        <f t="shared" si="127"/>
        <v>16407.32</v>
      </c>
      <c r="O933">
        <f t="shared" si="128"/>
        <v>5714.1100000000006</v>
      </c>
      <c r="P933" s="6">
        <f t="shared" si="129"/>
        <v>0.25830653804930337</v>
      </c>
      <c r="Q933">
        <f t="shared" si="130"/>
        <v>7</v>
      </c>
      <c r="R933">
        <f t="shared" si="131"/>
        <v>2014</v>
      </c>
      <c r="S933" t="str">
        <f t="shared" si="132"/>
        <v>July</v>
      </c>
      <c r="T933">
        <f t="shared" si="133"/>
        <v>7</v>
      </c>
      <c r="U933" t="str">
        <f t="shared" si="134"/>
        <v>Low Profit</v>
      </c>
    </row>
    <row r="934" spans="1:21" x14ac:dyDescent="0.35">
      <c r="A934" s="5" t="s">
        <v>37</v>
      </c>
      <c r="B934" s="5" t="s">
        <v>94</v>
      </c>
      <c r="C934" t="s">
        <v>35</v>
      </c>
      <c r="D934" t="s">
        <v>1161</v>
      </c>
      <c r="E934" t="s">
        <v>23</v>
      </c>
      <c r="F934" t="s">
        <v>32</v>
      </c>
      <c r="G934" s="3">
        <v>42180</v>
      </c>
      <c r="H934">
        <v>859686028</v>
      </c>
      <c r="I934" s="3">
        <v>42195</v>
      </c>
      <c r="J934">
        <v>9055</v>
      </c>
      <c r="K934">
        <v>205.7</v>
      </c>
      <c r="L934">
        <v>117.11</v>
      </c>
      <c r="M934">
        <f t="shared" si="126"/>
        <v>1862613.5</v>
      </c>
      <c r="N934">
        <f t="shared" si="127"/>
        <v>1060431.05</v>
      </c>
      <c r="O934">
        <f t="shared" si="128"/>
        <v>802182.45</v>
      </c>
      <c r="P934" s="6">
        <f t="shared" si="129"/>
        <v>0.43067574137092851</v>
      </c>
      <c r="Q934">
        <f t="shared" si="130"/>
        <v>15</v>
      </c>
      <c r="R934">
        <f t="shared" si="131"/>
        <v>2015</v>
      </c>
      <c r="S934" t="str">
        <f t="shared" si="132"/>
        <v>June</v>
      </c>
      <c r="T934">
        <f t="shared" si="133"/>
        <v>6</v>
      </c>
      <c r="U934" t="str">
        <f t="shared" si="134"/>
        <v>High Profit</v>
      </c>
    </row>
    <row r="935" spans="1:21" x14ac:dyDescent="0.35">
      <c r="A935" s="5" t="s">
        <v>37</v>
      </c>
      <c r="B935" s="5" t="s">
        <v>580</v>
      </c>
      <c r="C935" t="s">
        <v>48</v>
      </c>
      <c r="D935" t="s">
        <v>1162</v>
      </c>
      <c r="E935" t="s">
        <v>29</v>
      </c>
      <c r="F935" t="s">
        <v>41</v>
      </c>
      <c r="G935" s="3">
        <v>42226</v>
      </c>
      <c r="H935">
        <v>669355189</v>
      </c>
      <c r="I935" s="3">
        <v>42273</v>
      </c>
      <c r="J935">
        <v>5930</v>
      </c>
      <c r="K935">
        <v>109.28</v>
      </c>
      <c r="L935">
        <v>35.840000000000003</v>
      </c>
      <c r="M935">
        <f t="shared" si="126"/>
        <v>648030.4</v>
      </c>
      <c r="N935">
        <f t="shared" si="127"/>
        <v>212531.20000000001</v>
      </c>
      <c r="O935">
        <f t="shared" si="128"/>
        <v>435499.2</v>
      </c>
      <c r="P935" s="6">
        <f t="shared" si="129"/>
        <v>0.67203513909224011</v>
      </c>
      <c r="Q935">
        <f t="shared" si="130"/>
        <v>47</v>
      </c>
      <c r="R935">
        <f t="shared" si="131"/>
        <v>2015</v>
      </c>
      <c r="S935" t="str">
        <f t="shared" si="132"/>
        <v>August</v>
      </c>
      <c r="T935">
        <f t="shared" si="133"/>
        <v>8</v>
      </c>
      <c r="U935" t="str">
        <f t="shared" si="134"/>
        <v>Medium Profit</v>
      </c>
    </row>
    <row r="936" spans="1:21" x14ac:dyDescent="0.35">
      <c r="A936" s="5" t="s">
        <v>50</v>
      </c>
      <c r="B936" s="5" t="s">
        <v>969</v>
      </c>
      <c r="C936" t="s">
        <v>39</v>
      </c>
      <c r="D936" t="s">
        <v>1163</v>
      </c>
      <c r="E936" t="s">
        <v>23</v>
      </c>
      <c r="F936" t="s">
        <v>66</v>
      </c>
      <c r="G936" s="3">
        <v>41566</v>
      </c>
      <c r="H936">
        <v>957547605</v>
      </c>
      <c r="I936" s="3">
        <v>41599</v>
      </c>
      <c r="J936">
        <v>8470</v>
      </c>
      <c r="K936">
        <v>9.33</v>
      </c>
      <c r="L936">
        <v>6.92</v>
      </c>
      <c r="M936">
        <f t="shared" si="126"/>
        <v>79025.100000000006</v>
      </c>
      <c r="N936">
        <f t="shared" si="127"/>
        <v>58612.4</v>
      </c>
      <c r="O936">
        <f t="shared" si="128"/>
        <v>20412.700000000004</v>
      </c>
      <c r="P936" s="6">
        <f t="shared" si="129"/>
        <v>0.25830653804930337</v>
      </c>
      <c r="Q936">
        <f t="shared" si="130"/>
        <v>33</v>
      </c>
      <c r="R936">
        <f t="shared" si="131"/>
        <v>2013</v>
      </c>
      <c r="S936" t="str">
        <f t="shared" si="132"/>
        <v>October</v>
      </c>
      <c r="T936">
        <f t="shared" si="133"/>
        <v>10</v>
      </c>
      <c r="U936" t="str">
        <f t="shared" si="134"/>
        <v>Low Profit</v>
      </c>
    </row>
    <row r="937" spans="1:21" x14ac:dyDescent="0.35">
      <c r="A937" s="5" t="s">
        <v>33</v>
      </c>
      <c r="B937" s="5" t="s">
        <v>64</v>
      </c>
      <c r="C937" t="s">
        <v>83</v>
      </c>
      <c r="D937" t="s">
        <v>1164</v>
      </c>
      <c r="E937" t="s">
        <v>29</v>
      </c>
      <c r="F937" t="s">
        <v>24</v>
      </c>
      <c r="G937" s="3">
        <v>41556</v>
      </c>
      <c r="H937">
        <v>849312102</v>
      </c>
      <c r="I937" s="3">
        <v>41601</v>
      </c>
      <c r="J937">
        <v>9180</v>
      </c>
      <c r="K937">
        <v>81.73</v>
      </c>
      <c r="L937">
        <v>56.67</v>
      </c>
      <c r="M937">
        <f t="shared" si="126"/>
        <v>750281.4</v>
      </c>
      <c r="N937">
        <f t="shared" si="127"/>
        <v>520230.60000000003</v>
      </c>
      <c r="O937">
        <f t="shared" si="128"/>
        <v>230050.8</v>
      </c>
      <c r="P937" s="6">
        <f t="shared" si="129"/>
        <v>0.30661935641747212</v>
      </c>
      <c r="Q937">
        <f t="shared" si="130"/>
        <v>45</v>
      </c>
      <c r="R937">
        <f t="shared" si="131"/>
        <v>2013</v>
      </c>
      <c r="S937" t="str">
        <f t="shared" si="132"/>
        <v>October</v>
      </c>
      <c r="T937">
        <f t="shared" si="133"/>
        <v>10</v>
      </c>
      <c r="U937" t="str">
        <f t="shared" si="134"/>
        <v>Medium Profit</v>
      </c>
    </row>
    <row r="938" spans="1:21" x14ac:dyDescent="0.35">
      <c r="A938" s="5" t="s">
        <v>37</v>
      </c>
      <c r="B938" s="5" t="s">
        <v>107</v>
      </c>
      <c r="C938" t="s">
        <v>83</v>
      </c>
      <c r="D938" t="s">
        <v>1165</v>
      </c>
      <c r="E938" t="s">
        <v>23</v>
      </c>
      <c r="F938" t="s">
        <v>41</v>
      </c>
      <c r="G938" s="3">
        <v>41178</v>
      </c>
      <c r="H938">
        <v>890010011</v>
      </c>
      <c r="I938" s="3">
        <v>41196</v>
      </c>
      <c r="J938">
        <v>2595</v>
      </c>
      <c r="K938">
        <v>81.73</v>
      </c>
      <c r="L938">
        <v>56.67</v>
      </c>
      <c r="M938">
        <f t="shared" si="126"/>
        <v>212089.35</v>
      </c>
      <c r="N938">
        <f t="shared" si="127"/>
        <v>147058.65</v>
      </c>
      <c r="O938">
        <f t="shared" si="128"/>
        <v>65030.700000000012</v>
      </c>
      <c r="P938" s="6">
        <f t="shared" si="129"/>
        <v>0.30661935641747223</v>
      </c>
      <c r="Q938">
        <f t="shared" si="130"/>
        <v>18</v>
      </c>
      <c r="R938">
        <f t="shared" si="131"/>
        <v>2012</v>
      </c>
      <c r="S938" t="str">
        <f t="shared" si="132"/>
        <v>September</v>
      </c>
      <c r="T938">
        <f t="shared" si="133"/>
        <v>9</v>
      </c>
      <c r="U938" t="str">
        <f t="shared" si="134"/>
        <v>Low Profit</v>
      </c>
    </row>
    <row r="939" spans="1:21" x14ac:dyDescent="0.35">
      <c r="A939" s="5" t="s">
        <v>19</v>
      </c>
      <c r="B939" s="5" t="s">
        <v>96</v>
      </c>
      <c r="C939" t="s">
        <v>35</v>
      </c>
      <c r="D939" t="s">
        <v>1166</v>
      </c>
      <c r="E939" t="s">
        <v>29</v>
      </c>
      <c r="F939" t="s">
        <v>41</v>
      </c>
      <c r="G939" s="3">
        <v>41184</v>
      </c>
      <c r="H939">
        <v>795315158</v>
      </c>
      <c r="I939" s="3">
        <v>41208</v>
      </c>
      <c r="J939">
        <v>284</v>
      </c>
      <c r="K939">
        <v>205.7</v>
      </c>
      <c r="L939">
        <v>117.11</v>
      </c>
      <c r="M939">
        <f t="shared" si="126"/>
        <v>58418.799999999996</v>
      </c>
      <c r="N939">
        <f t="shared" si="127"/>
        <v>33259.24</v>
      </c>
      <c r="O939">
        <f t="shared" si="128"/>
        <v>25159.559999999998</v>
      </c>
      <c r="P939" s="6">
        <f t="shared" si="129"/>
        <v>0.43067574137092851</v>
      </c>
      <c r="Q939">
        <f t="shared" si="130"/>
        <v>24</v>
      </c>
      <c r="R939">
        <f t="shared" si="131"/>
        <v>2012</v>
      </c>
      <c r="S939" t="str">
        <f t="shared" si="132"/>
        <v>October</v>
      </c>
      <c r="T939">
        <f t="shared" si="133"/>
        <v>10</v>
      </c>
      <c r="U939" t="str">
        <f t="shared" si="134"/>
        <v>Low Profit</v>
      </c>
    </row>
    <row r="940" spans="1:21" x14ac:dyDescent="0.35">
      <c r="A940" s="5" t="s">
        <v>33</v>
      </c>
      <c r="B940" s="5" t="s">
        <v>64</v>
      </c>
      <c r="C940" t="s">
        <v>48</v>
      </c>
      <c r="D940" t="s">
        <v>1167</v>
      </c>
      <c r="E940" t="s">
        <v>23</v>
      </c>
      <c r="F940" t="s">
        <v>24</v>
      </c>
      <c r="G940" s="3">
        <v>42715</v>
      </c>
      <c r="H940">
        <v>801213872</v>
      </c>
      <c r="I940" s="3">
        <v>42763</v>
      </c>
      <c r="J940">
        <v>5844</v>
      </c>
      <c r="K940">
        <v>109.28</v>
      </c>
      <c r="L940">
        <v>35.840000000000003</v>
      </c>
      <c r="M940">
        <f t="shared" si="126"/>
        <v>638632.31999999995</v>
      </c>
      <c r="N940">
        <f t="shared" si="127"/>
        <v>209448.96000000002</v>
      </c>
      <c r="O940">
        <f t="shared" si="128"/>
        <v>429183.35999999993</v>
      </c>
      <c r="P940" s="6">
        <f t="shared" si="129"/>
        <v>0.67203513909224011</v>
      </c>
      <c r="Q940">
        <f t="shared" si="130"/>
        <v>48</v>
      </c>
      <c r="R940">
        <f t="shared" si="131"/>
        <v>2016</v>
      </c>
      <c r="S940" t="str">
        <f t="shared" si="132"/>
        <v>December</v>
      </c>
      <c r="T940">
        <f t="shared" si="133"/>
        <v>12</v>
      </c>
      <c r="U940" t="str">
        <f t="shared" si="134"/>
        <v>Medium Profit</v>
      </c>
    </row>
    <row r="941" spans="1:21" x14ac:dyDescent="0.35">
      <c r="A941" s="5" t="s">
        <v>37</v>
      </c>
      <c r="B941" s="5" t="s">
        <v>278</v>
      </c>
      <c r="C941" t="s">
        <v>39</v>
      </c>
      <c r="D941" t="s">
        <v>1168</v>
      </c>
      <c r="E941" t="s">
        <v>23</v>
      </c>
      <c r="F941" t="s">
        <v>32</v>
      </c>
      <c r="G941" s="3">
        <v>40385</v>
      </c>
      <c r="H941">
        <v>314004981</v>
      </c>
      <c r="I941" s="3">
        <v>40399</v>
      </c>
      <c r="J941">
        <v>9907</v>
      </c>
      <c r="K941">
        <v>9.33</v>
      </c>
      <c r="L941">
        <v>6.92</v>
      </c>
      <c r="M941">
        <f t="shared" si="126"/>
        <v>92432.31</v>
      </c>
      <c r="N941">
        <f t="shared" si="127"/>
        <v>68556.44</v>
      </c>
      <c r="O941">
        <f t="shared" si="128"/>
        <v>23875.869999999995</v>
      </c>
      <c r="P941" s="6">
        <f t="shared" si="129"/>
        <v>0.25830653804930326</v>
      </c>
      <c r="Q941">
        <f t="shared" si="130"/>
        <v>14</v>
      </c>
      <c r="R941">
        <f t="shared" si="131"/>
        <v>2010</v>
      </c>
      <c r="S941" t="str">
        <f t="shared" si="132"/>
        <v>July</v>
      </c>
      <c r="T941">
        <f t="shared" si="133"/>
        <v>7</v>
      </c>
      <c r="U941" t="str">
        <f t="shared" si="134"/>
        <v>Low Profit</v>
      </c>
    </row>
    <row r="942" spans="1:21" x14ac:dyDescent="0.35">
      <c r="A942" s="5" t="s">
        <v>33</v>
      </c>
      <c r="B942" s="5" t="s">
        <v>168</v>
      </c>
      <c r="C942" t="s">
        <v>35</v>
      </c>
      <c r="D942" t="s">
        <v>1169</v>
      </c>
      <c r="E942" t="s">
        <v>29</v>
      </c>
      <c r="F942" t="s">
        <v>32</v>
      </c>
      <c r="G942" s="3">
        <v>40264</v>
      </c>
      <c r="H942">
        <v>160299813</v>
      </c>
      <c r="I942" s="3">
        <v>40274</v>
      </c>
      <c r="J942">
        <v>5132</v>
      </c>
      <c r="K942">
        <v>205.7</v>
      </c>
      <c r="L942">
        <v>117.11</v>
      </c>
      <c r="M942">
        <f t="shared" si="126"/>
        <v>1055652.3999999999</v>
      </c>
      <c r="N942">
        <f t="shared" si="127"/>
        <v>601008.52</v>
      </c>
      <c r="O942">
        <f t="shared" si="128"/>
        <v>454643.87999999989</v>
      </c>
      <c r="P942" s="6">
        <f t="shared" si="129"/>
        <v>0.43067574137092846</v>
      </c>
      <c r="Q942">
        <f t="shared" si="130"/>
        <v>10</v>
      </c>
      <c r="R942">
        <f t="shared" si="131"/>
        <v>2010</v>
      </c>
      <c r="S942" t="str">
        <f t="shared" si="132"/>
        <v>March</v>
      </c>
      <c r="T942">
        <f t="shared" si="133"/>
        <v>3</v>
      </c>
      <c r="U942" t="str">
        <f t="shared" si="134"/>
        <v>Medium Profit</v>
      </c>
    </row>
    <row r="943" spans="1:21" x14ac:dyDescent="0.35">
      <c r="A943" s="5" t="s">
        <v>33</v>
      </c>
      <c r="B943" s="5" t="s">
        <v>497</v>
      </c>
      <c r="C943" t="s">
        <v>72</v>
      </c>
      <c r="D943" t="s">
        <v>1170</v>
      </c>
      <c r="E943" t="s">
        <v>23</v>
      </c>
      <c r="F943" t="s">
        <v>32</v>
      </c>
      <c r="G943" s="3">
        <v>41893</v>
      </c>
      <c r="H943">
        <v>337022197</v>
      </c>
      <c r="I943" s="3">
        <v>41904</v>
      </c>
      <c r="J943">
        <v>1212</v>
      </c>
      <c r="K943">
        <v>47.45</v>
      </c>
      <c r="L943">
        <v>31.79</v>
      </c>
      <c r="M943">
        <f t="shared" si="126"/>
        <v>57509.4</v>
      </c>
      <c r="N943">
        <f t="shared" si="127"/>
        <v>38529.479999999996</v>
      </c>
      <c r="O943">
        <f t="shared" si="128"/>
        <v>18979.920000000006</v>
      </c>
      <c r="P943" s="6">
        <f t="shared" si="129"/>
        <v>0.33003161222339311</v>
      </c>
      <c r="Q943">
        <f t="shared" si="130"/>
        <v>11</v>
      </c>
      <c r="R943">
        <f t="shared" si="131"/>
        <v>2014</v>
      </c>
      <c r="S943" t="str">
        <f t="shared" si="132"/>
        <v>September</v>
      </c>
      <c r="T943">
        <f t="shared" si="133"/>
        <v>9</v>
      </c>
      <c r="U943" t="str">
        <f t="shared" si="134"/>
        <v>Low Profit</v>
      </c>
    </row>
    <row r="944" spans="1:21" x14ac:dyDescent="0.35">
      <c r="A944" s="5" t="s">
        <v>37</v>
      </c>
      <c r="B944" s="5" t="s">
        <v>318</v>
      </c>
      <c r="C944" t="s">
        <v>58</v>
      </c>
      <c r="D944" t="s">
        <v>1171</v>
      </c>
      <c r="E944" t="s">
        <v>23</v>
      </c>
      <c r="F944" t="s">
        <v>24</v>
      </c>
      <c r="G944" s="3">
        <v>42438</v>
      </c>
      <c r="H944">
        <v>461408460</v>
      </c>
      <c r="I944" s="3">
        <v>42444</v>
      </c>
      <c r="J944">
        <v>9872</v>
      </c>
      <c r="K944">
        <v>152.58000000000001</v>
      </c>
      <c r="L944">
        <v>97.44</v>
      </c>
      <c r="M944">
        <f t="shared" si="126"/>
        <v>1506269.76</v>
      </c>
      <c r="N944">
        <f t="shared" si="127"/>
        <v>961927.67999999993</v>
      </c>
      <c r="O944">
        <f t="shared" si="128"/>
        <v>544342.08000000007</v>
      </c>
      <c r="P944" s="6">
        <f t="shared" si="129"/>
        <v>0.36138419189933152</v>
      </c>
      <c r="Q944">
        <f t="shared" si="130"/>
        <v>6</v>
      </c>
      <c r="R944">
        <f t="shared" si="131"/>
        <v>2016</v>
      </c>
      <c r="S944" t="str">
        <f t="shared" si="132"/>
        <v>March</v>
      </c>
      <c r="T944">
        <f t="shared" si="133"/>
        <v>3</v>
      </c>
      <c r="U944" t="str">
        <f t="shared" si="134"/>
        <v>High Profit</v>
      </c>
    </row>
    <row r="945" spans="1:21" x14ac:dyDescent="0.35">
      <c r="A945" s="5" t="s">
        <v>33</v>
      </c>
      <c r="B945" s="5" t="s">
        <v>129</v>
      </c>
      <c r="C945" t="s">
        <v>69</v>
      </c>
      <c r="D945" t="s">
        <v>1172</v>
      </c>
      <c r="E945" t="s">
        <v>23</v>
      </c>
      <c r="F945" t="s">
        <v>24</v>
      </c>
      <c r="G945" s="3">
        <v>40835</v>
      </c>
      <c r="H945">
        <v>221007430</v>
      </c>
      <c r="I945" s="3">
        <v>40857</v>
      </c>
      <c r="J945">
        <v>9865</v>
      </c>
      <c r="K945">
        <v>651.21</v>
      </c>
      <c r="L945">
        <v>524.96</v>
      </c>
      <c r="M945">
        <f t="shared" si="126"/>
        <v>6424186.6500000004</v>
      </c>
      <c r="N945">
        <f t="shared" si="127"/>
        <v>5178730.4000000004</v>
      </c>
      <c r="O945">
        <f t="shared" si="128"/>
        <v>1245456.25</v>
      </c>
      <c r="P945" s="6">
        <f t="shared" si="129"/>
        <v>0.19386987300563566</v>
      </c>
      <c r="Q945">
        <f t="shared" si="130"/>
        <v>22</v>
      </c>
      <c r="R945">
        <f t="shared" si="131"/>
        <v>2011</v>
      </c>
      <c r="S945" t="str">
        <f t="shared" si="132"/>
        <v>October</v>
      </c>
      <c r="T945">
        <f t="shared" si="133"/>
        <v>10</v>
      </c>
      <c r="U945" t="str">
        <f t="shared" si="134"/>
        <v>High Profit</v>
      </c>
    </row>
    <row r="946" spans="1:21" x14ac:dyDescent="0.35">
      <c r="A946" s="5" t="s">
        <v>50</v>
      </c>
      <c r="B946" s="5" t="s">
        <v>109</v>
      </c>
      <c r="C946" t="s">
        <v>58</v>
      </c>
      <c r="D946" t="s">
        <v>1173</v>
      </c>
      <c r="E946" t="s">
        <v>23</v>
      </c>
      <c r="F946" t="s">
        <v>66</v>
      </c>
      <c r="G946" s="3">
        <v>41943</v>
      </c>
      <c r="H946">
        <v>723680436</v>
      </c>
      <c r="I946" s="3">
        <v>41993</v>
      </c>
      <c r="J946">
        <v>1978</v>
      </c>
      <c r="K946">
        <v>152.58000000000001</v>
      </c>
      <c r="L946">
        <v>97.44</v>
      </c>
      <c r="M946">
        <f t="shared" si="126"/>
        <v>301803.24000000005</v>
      </c>
      <c r="N946">
        <f t="shared" si="127"/>
        <v>192736.32</v>
      </c>
      <c r="O946">
        <f t="shared" si="128"/>
        <v>109066.92000000004</v>
      </c>
      <c r="P946" s="6">
        <f t="shared" si="129"/>
        <v>0.36138419189933157</v>
      </c>
      <c r="Q946">
        <f t="shared" si="130"/>
        <v>50</v>
      </c>
      <c r="R946">
        <f t="shared" si="131"/>
        <v>2014</v>
      </c>
      <c r="S946" t="str">
        <f t="shared" si="132"/>
        <v>October</v>
      </c>
      <c r="T946">
        <f t="shared" si="133"/>
        <v>10</v>
      </c>
      <c r="U946" t="str">
        <f t="shared" si="134"/>
        <v>Medium Profit</v>
      </c>
    </row>
    <row r="947" spans="1:21" x14ac:dyDescent="0.35">
      <c r="A947" s="5" t="s">
        <v>53</v>
      </c>
      <c r="B947" s="5" t="s">
        <v>212</v>
      </c>
      <c r="C947" t="s">
        <v>39</v>
      </c>
      <c r="D947" t="s">
        <v>1174</v>
      </c>
      <c r="E947" t="s">
        <v>23</v>
      </c>
      <c r="F947" t="s">
        <v>66</v>
      </c>
      <c r="G947" s="3">
        <v>41328</v>
      </c>
      <c r="H947">
        <v>447601306</v>
      </c>
      <c r="I947" s="3">
        <v>41344</v>
      </c>
      <c r="J947">
        <v>4028</v>
      </c>
      <c r="K947">
        <v>9.33</v>
      </c>
      <c r="L947">
        <v>6.92</v>
      </c>
      <c r="M947">
        <f t="shared" si="126"/>
        <v>37581.24</v>
      </c>
      <c r="N947">
        <f t="shared" si="127"/>
        <v>27873.759999999998</v>
      </c>
      <c r="O947">
        <f t="shared" si="128"/>
        <v>9707.48</v>
      </c>
      <c r="P947" s="6">
        <f t="shared" si="129"/>
        <v>0.25830653804930331</v>
      </c>
      <c r="Q947">
        <f t="shared" si="130"/>
        <v>16</v>
      </c>
      <c r="R947">
        <f t="shared" si="131"/>
        <v>2013</v>
      </c>
      <c r="S947" t="str">
        <f t="shared" si="132"/>
        <v>February</v>
      </c>
      <c r="T947">
        <f t="shared" si="133"/>
        <v>2</v>
      </c>
      <c r="U947" t="str">
        <f t="shared" si="134"/>
        <v>Low Profit</v>
      </c>
    </row>
    <row r="948" spans="1:21" x14ac:dyDescent="0.35">
      <c r="A948" s="5" t="s">
        <v>19</v>
      </c>
      <c r="B948" s="5" t="s">
        <v>315</v>
      </c>
      <c r="C948" t="s">
        <v>48</v>
      </c>
      <c r="D948" t="s">
        <v>1175</v>
      </c>
      <c r="E948" t="s">
        <v>23</v>
      </c>
      <c r="F948" t="s">
        <v>66</v>
      </c>
      <c r="G948" s="3">
        <v>40476</v>
      </c>
      <c r="H948">
        <v>191256368</v>
      </c>
      <c r="I948" s="3">
        <v>40491</v>
      </c>
      <c r="J948">
        <v>5864</v>
      </c>
      <c r="K948">
        <v>109.28</v>
      </c>
      <c r="L948">
        <v>35.840000000000003</v>
      </c>
      <c r="M948">
        <f t="shared" si="126"/>
        <v>640817.92000000004</v>
      </c>
      <c r="N948">
        <f t="shared" si="127"/>
        <v>210165.76000000001</v>
      </c>
      <c r="O948">
        <f t="shared" si="128"/>
        <v>430652.16000000003</v>
      </c>
      <c r="P948" s="6">
        <f t="shared" si="129"/>
        <v>0.67203513909224011</v>
      </c>
      <c r="Q948">
        <f t="shared" si="130"/>
        <v>15</v>
      </c>
      <c r="R948">
        <f t="shared" si="131"/>
        <v>2010</v>
      </c>
      <c r="S948" t="str">
        <f t="shared" si="132"/>
        <v>October</v>
      </c>
      <c r="T948">
        <f t="shared" si="133"/>
        <v>10</v>
      </c>
      <c r="U948" t="str">
        <f t="shared" si="134"/>
        <v>Medium Profit</v>
      </c>
    </row>
    <row r="949" spans="1:21" x14ac:dyDescent="0.35">
      <c r="A949" s="5" t="s">
        <v>37</v>
      </c>
      <c r="B949" s="5" t="s">
        <v>1099</v>
      </c>
      <c r="C949" t="s">
        <v>27</v>
      </c>
      <c r="D949" t="s">
        <v>1176</v>
      </c>
      <c r="E949" t="s">
        <v>23</v>
      </c>
      <c r="F949" t="s">
        <v>66</v>
      </c>
      <c r="G949" s="3">
        <v>42647</v>
      </c>
      <c r="H949">
        <v>823444449</v>
      </c>
      <c r="I949" s="3">
        <v>42673</v>
      </c>
      <c r="J949">
        <v>4366</v>
      </c>
      <c r="K949">
        <v>154.06</v>
      </c>
      <c r="L949">
        <v>90.93</v>
      </c>
      <c r="M949">
        <f t="shared" si="126"/>
        <v>672625.96</v>
      </c>
      <c r="N949">
        <f t="shared" si="127"/>
        <v>397000.38</v>
      </c>
      <c r="O949">
        <f t="shared" si="128"/>
        <v>275625.57999999996</v>
      </c>
      <c r="P949" s="6">
        <f t="shared" si="129"/>
        <v>0.40977541217707381</v>
      </c>
      <c r="Q949">
        <f t="shared" si="130"/>
        <v>26</v>
      </c>
      <c r="R949">
        <f t="shared" si="131"/>
        <v>2016</v>
      </c>
      <c r="S949" t="str">
        <f t="shared" si="132"/>
        <v>October</v>
      </c>
      <c r="T949">
        <f t="shared" si="133"/>
        <v>10</v>
      </c>
      <c r="U949" t="str">
        <f t="shared" si="134"/>
        <v>Medium Profit</v>
      </c>
    </row>
    <row r="950" spans="1:21" x14ac:dyDescent="0.35">
      <c r="A950" s="5" t="s">
        <v>19</v>
      </c>
      <c r="B950" s="5" t="s">
        <v>310</v>
      </c>
      <c r="C950" t="s">
        <v>72</v>
      </c>
      <c r="D950" t="s">
        <v>1177</v>
      </c>
      <c r="E950" t="s">
        <v>29</v>
      </c>
      <c r="F950" t="s">
        <v>32</v>
      </c>
      <c r="G950" s="3">
        <v>40425</v>
      </c>
      <c r="H950">
        <v>133276879</v>
      </c>
      <c r="I950" s="3">
        <v>40468</v>
      </c>
      <c r="J950">
        <v>8445</v>
      </c>
      <c r="K950">
        <v>47.45</v>
      </c>
      <c r="L950">
        <v>31.79</v>
      </c>
      <c r="M950">
        <f t="shared" si="126"/>
        <v>400715.25</v>
      </c>
      <c r="N950">
        <f t="shared" si="127"/>
        <v>268466.55</v>
      </c>
      <c r="O950">
        <f t="shared" si="128"/>
        <v>132248.70000000001</v>
      </c>
      <c r="P950" s="6">
        <f t="shared" si="129"/>
        <v>0.33003161222339306</v>
      </c>
      <c r="Q950">
        <f t="shared" si="130"/>
        <v>43</v>
      </c>
      <c r="R950">
        <f t="shared" si="131"/>
        <v>2010</v>
      </c>
      <c r="S950" t="str">
        <f t="shared" si="132"/>
        <v>September</v>
      </c>
      <c r="T950">
        <f t="shared" si="133"/>
        <v>9</v>
      </c>
      <c r="U950" t="str">
        <f t="shared" si="134"/>
        <v>Medium Profit</v>
      </c>
    </row>
    <row r="951" spans="1:21" x14ac:dyDescent="0.35">
      <c r="A951" s="5" t="s">
        <v>19</v>
      </c>
      <c r="B951" s="5" t="s">
        <v>176</v>
      </c>
      <c r="C951" t="s">
        <v>92</v>
      </c>
      <c r="D951" t="s">
        <v>1178</v>
      </c>
      <c r="E951" t="s">
        <v>29</v>
      </c>
      <c r="F951" t="s">
        <v>41</v>
      </c>
      <c r="G951" s="3">
        <v>41995</v>
      </c>
      <c r="H951">
        <v>480177485</v>
      </c>
      <c r="I951" s="3">
        <v>42042</v>
      </c>
      <c r="J951">
        <v>4043</v>
      </c>
      <c r="K951">
        <v>421.89</v>
      </c>
      <c r="L951">
        <v>364.69</v>
      </c>
      <c r="M951">
        <f t="shared" si="126"/>
        <v>1705701.27</v>
      </c>
      <c r="N951">
        <f t="shared" si="127"/>
        <v>1474441.67</v>
      </c>
      <c r="O951">
        <f t="shared" si="128"/>
        <v>231259.60000000009</v>
      </c>
      <c r="P951" s="6">
        <f t="shared" si="129"/>
        <v>0.13558036455000125</v>
      </c>
      <c r="Q951">
        <f t="shared" si="130"/>
        <v>47</v>
      </c>
      <c r="R951">
        <f t="shared" si="131"/>
        <v>2014</v>
      </c>
      <c r="S951" t="str">
        <f t="shared" si="132"/>
        <v>December</v>
      </c>
      <c r="T951">
        <f t="shared" si="133"/>
        <v>12</v>
      </c>
      <c r="U951" t="str">
        <f t="shared" si="134"/>
        <v>Medium Profit</v>
      </c>
    </row>
    <row r="952" spans="1:21" x14ac:dyDescent="0.35">
      <c r="A952" s="5" t="s">
        <v>37</v>
      </c>
      <c r="B952" s="5" t="s">
        <v>445</v>
      </c>
      <c r="C952" t="s">
        <v>60</v>
      </c>
      <c r="D952" t="s">
        <v>1179</v>
      </c>
      <c r="E952" t="s">
        <v>23</v>
      </c>
      <c r="F952" t="s">
        <v>41</v>
      </c>
      <c r="G952" s="3">
        <v>42102</v>
      </c>
      <c r="H952">
        <v>243882596</v>
      </c>
      <c r="I952" s="3">
        <v>42135</v>
      </c>
      <c r="J952">
        <v>9135</v>
      </c>
      <c r="K952">
        <v>668.27</v>
      </c>
      <c r="L952">
        <v>502.54</v>
      </c>
      <c r="M952">
        <f t="shared" si="126"/>
        <v>6104646.4500000002</v>
      </c>
      <c r="N952">
        <f t="shared" si="127"/>
        <v>4590702.9000000004</v>
      </c>
      <c r="O952">
        <f t="shared" si="128"/>
        <v>1513943.5499999998</v>
      </c>
      <c r="P952" s="6">
        <f t="shared" si="129"/>
        <v>0.24799856345489094</v>
      </c>
      <c r="Q952">
        <f t="shared" si="130"/>
        <v>33</v>
      </c>
      <c r="R952">
        <f t="shared" si="131"/>
        <v>2015</v>
      </c>
      <c r="S952" t="str">
        <f t="shared" si="132"/>
        <v>April</v>
      </c>
      <c r="T952">
        <f t="shared" si="133"/>
        <v>4</v>
      </c>
      <c r="U952" t="str">
        <f t="shared" si="134"/>
        <v>High Profit</v>
      </c>
    </row>
    <row r="953" spans="1:21" x14ac:dyDescent="0.35">
      <c r="A953" s="5" t="s">
        <v>50</v>
      </c>
      <c r="B953" s="5" t="s">
        <v>420</v>
      </c>
      <c r="C953" t="s">
        <v>21</v>
      </c>
      <c r="D953" t="s">
        <v>1180</v>
      </c>
      <c r="E953" t="s">
        <v>29</v>
      </c>
      <c r="F953" t="s">
        <v>66</v>
      </c>
      <c r="G953" s="3">
        <v>42796</v>
      </c>
      <c r="H953">
        <v>574441039</v>
      </c>
      <c r="I953" s="3">
        <v>42831</v>
      </c>
      <c r="J953">
        <v>8724</v>
      </c>
      <c r="K953">
        <v>437.2</v>
      </c>
      <c r="L953">
        <v>263.33</v>
      </c>
      <c r="M953">
        <f t="shared" si="126"/>
        <v>3814132.8</v>
      </c>
      <c r="N953">
        <f t="shared" si="127"/>
        <v>2297290.92</v>
      </c>
      <c r="O953">
        <f t="shared" si="128"/>
        <v>1516841.88</v>
      </c>
      <c r="P953" s="6">
        <f t="shared" si="129"/>
        <v>0.39768984446477584</v>
      </c>
      <c r="Q953">
        <f t="shared" si="130"/>
        <v>35</v>
      </c>
      <c r="R953">
        <f t="shared" si="131"/>
        <v>2017</v>
      </c>
      <c r="S953" t="str">
        <f t="shared" si="132"/>
        <v>March</v>
      </c>
      <c r="T953">
        <f t="shared" si="133"/>
        <v>3</v>
      </c>
      <c r="U953" t="str">
        <f t="shared" si="134"/>
        <v>High Profit</v>
      </c>
    </row>
    <row r="954" spans="1:21" x14ac:dyDescent="0.35">
      <c r="A954" s="5" t="s">
        <v>53</v>
      </c>
      <c r="B954" s="5" t="s">
        <v>381</v>
      </c>
      <c r="C954" t="s">
        <v>60</v>
      </c>
      <c r="D954" t="s">
        <v>1181</v>
      </c>
      <c r="E954" t="s">
        <v>29</v>
      </c>
      <c r="F954" t="s">
        <v>24</v>
      </c>
      <c r="G954" s="3">
        <v>40982</v>
      </c>
      <c r="H954">
        <v>442214143</v>
      </c>
      <c r="I954" s="3">
        <v>41032</v>
      </c>
      <c r="J954">
        <v>9847</v>
      </c>
      <c r="K954">
        <v>668.27</v>
      </c>
      <c r="L954">
        <v>502.54</v>
      </c>
      <c r="M954">
        <f t="shared" si="126"/>
        <v>6580454.6899999995</v>
      </c>
      <c r="N954">
        <f t="shared" si="127"/>
        <v>4948511.38</v>
      </c>
      <c r="O954">
        <f t="shared" si="128"/>
        <v>1631943.3099999996</v>
      </c>
      <c r="P954" s="6">
        <f t="shared" si="129"/>
        <v>0.24799856345489094</v>
      </c>
      <c r="Q954">
        <f t="shared" si="130"/>
        <v>50</v>
      </c>
      <c r="R954">
        <f t="shared" si="131"/>
        <v>2012</v>
      </c>
      <c r="S954" t="str">
        <f t="shared" si="132"/>
        <v>March</v>
      </c>
      <c r="T954">
        <f t="shared" si="133"/>
        <v>3</v>
      </c>
      <c r="U954" t="str">
        <f t="shared" si="134"/>
        <v>High Profit</v>
      </c>
    </row>
    <row r="955" spans="1:21" x14ac:dyDescent="0.35">
      <c r="A955" s="5" t="s">
        <v>19</v>
      </c>
      <c r="B955" s="5" t="s">
        <v>176</v>
      </c>
      <c r="C955" t="s">
        <v>48</v>
      </c>
      <c r="D955" t="s">
        <v>1182</v>
      </c>
      <c r="E955" t="s">
        <v>23</v>
      </c>
      <c r="F955" t="s">
        <v>32</v>
      </c>
      <c r="G955" s="3">
        <v>40869</v>
      </c>
      <c r="H955">
        <v>687875735</v>
      </c>
      <c r="I955" s="3">
        <v>40879</v>
      </c>
      <c r="J955">
        <v>6571</v>
      </c>
      <c r="K955">
        <v>109.28</v>
      </c>
      <c r="L955">
        <v>35.840000000000003</v>
      </c>
      <c r="M955">
        <f t="shared" si="126"/>
        <v>718078.88</v>
      </c>
      <c r="N955">
        <f t="shared" si="127"/>
        <v>235504.64000000001</v>
      </c>
      <c r="O955">
        <f t="shared" si="128"/>
        <v>482574.24</v>
      </c>
      <c r="P955" s="6">
        <f t="shared" si="129"/>
        <v>0.67203513909224011</v>
      </c>
      <c r="Q955">
        <f t="shared" si="130"/>
        <v>10</v>
      </c>
      <c r="R955">
        <f t="shared" si="131"/>
        <v>2011</v>
      </c>
      <c r="S955" t="str">
        <f t="shared" si="132"/>
        <v>November</v>
      </c>
      <c r="T955">
        <f t="shared" si="133"/>
        <v>11</v>
      </c>
      <c r="U955" t="str">
        <f t="shared" si="134"/>
        <v>Medium Profit</v>
      </c>
    </row>
    <row r="956" spans="1:21" x14ac:dyDescent="0.35">
      <c r="A956" s="5" t="s">
        <v>50</v>
      </c>
      <c r="B956" s="5" t="s">
        <v>631</v>
      </c>
      <c r="C956" t="s">
        <v>48</v>
      </c>
      <c r="D956" t="s">
        <v>1183</v>
      </c>
      <c r="E956" t="s">
        <v>23</v>
      </c>
      <c r="F956" t="s">
        <v>41</v>
      </c>
      <c r="G956" s="3">
        <v>41525</v>
      </c>
      <c r="H956">
        <v>872412145</v>
      </c>
      <c r="I956" s="3">
        <v>41542</v>
      </c>
      <c r="J956">
        <v>4995</v>
      </c>
      <c r="K956">
        <v>109.28</v>
      </c>
      <c r="L956">
        <v>35.840000000000003</v>
      </c>
      <c r="M956">
        <f t="shared" si="126"/>
        <v>545853.6</v>
      </c>
      <c r="N956">
        <f t="shared" si="127"/>
        <v>179020.80000000002</v>
      </c>
      <c r="O956">
        <f t="shared" si="128"/>
        <v>366832.79999999993</v>
      </c>
      <c r="P956" s="6">
        <f t="shared" si="129"/>
        <v>0.67203513909224</v>
      </c>
      <c r="Q956">
        <f t="shared" si="130"/>
        <v>17</v>
      </c>
      <c r="R956">
        <f t="shared" si="131"/>
        <v>2013</v>
      </c>
      <c r="S956" t="str">
        <f t="shared" si="132"/>
        <v>September</v>
      </c>
      <c r="T956">
        <f t="shared" si="133"/>
        <v>9</v>
      </c>
      <c r="U956" t="str">
        <f t="shared" si="134"/>
        <v>Medium Profit</v>
      </c>
    </row>
    <row r="957" spans="1:21" x14ac:dyDescent="0.35">
      <c r="A957" s="5" t="s">
        <v>37</v>
      </c>
      <c r="B957" s="5" t="s">
        <v>991</v>
      </c>
      <c r="C957" t="s">
        <v>39</v>
      </c>
      <c r="D957" t="s">
        <v>1184</v>
      </c>
      <c r="E957" t="s">
        <v>23</v>
      </c>
      <c r="F957" t="s">
        <v>32</v>
      </c>
      <c r="G957" s="3">
        <v>41022</v>
      </c>
      <c r="H957">
        <v>627122199</v>
      </c>
      <c r="I957" s="3">
        <v>41028</v>
      </c>
      <c r="J957">
        <v>8250</v>
      </c>
      <c r="K957">
        <v>9.33</v>
      </c>
      <c r="L957">
        <v>6.92</v>
      </c>
      <c r="M957">
        <f t="shared" si="126"/>
        <v>76972.5</v>
      </c>
      <c r="N957">
        <f t="shared" si="127"/>
        <v>57090</v>
      </c>
      <c r="O957">
        <f t="shared" si="128"/>
        <v>19882.5</v>
      </c>
      <c r="P957" s="6">
        <f t="shared" si="129"/>
        <v>0.25830653804930331</v>
      </c>
      <c r="Q957">
        <f t="shared" si="130"/>
        <v>6</v>
      </c>
      <c r="R957">
        <f t="shared" si="131"/>
        <v>2012</v>
      </c>
      <c r="S957" t="str">
        <f t="shared" si="132"/>
        <v>April</v>
      </c>
      <c r="T957">
        <f t="shared" si="133"/>
        <v>4</v>
      </c>
      <c r="U957" t="str">
        <f t="shared" si="134"/>
        <v>Low Profit</v>
      </c>
    </row>
    <row r="958" spans="1:21" x14ac:dyDescent="0.35">
      <c r="A958" s="5" t="s">
        <v>42</v>
      </c>
      <c r="B958" s="5" t="s">
        <v>414</v>
      </c>
      <c r="C958" t="s">
        <v>39</v>
      </c>
      <c r="D958" t="s">
        <v>1185</v>
      </c>
      <c r="E958" t="s">
        <v>29</v>
      </c>
      <c r="F958" t="s">
        <v>24</v>
      </c>
      <c r="G958" s="3">
        <v>40588</v>
      </c>
      <c r="H958">
        <v>103617227</v>
      </c>
      <c r="I958" s="3">
        <v>40614</v>
      </c>
      <c r="J958">
        <v>1495</v>
      </c>
      <c r="K958">
        <v>9.33</v>
      </c>
      <c r="L958">
        <v>6.92</v>
      </c>
      <c r="M958">
        <f t="shared" si="126"/>
        <v>13948.35</v>
      </c>
      <c r="N958">
        <f t="shared" si="127"/>
        <v>10345.4</v>
      </c>
      <c r="O958">
        <f t="shared" si="128"/>
        <v>3602.9500000000007</v>
      </c>
      <c r="P958" s="6">
        <f t="shared" si="129"/>
        <v>0.25830653804930337</v>
      </c>
      <c r="Q958">
        <f t="shared" si="130"/>
        <v>26</v>
      </c>
      <c r="R958">
        <f t="shared" si="131"/>
        <v>2011</v>
      </c>
      <c r="S958" t="str">
        <f t="shared" si="132"/>
        <v>February</v>
      </c>
      <c r="T958">
        <f t="shared" si="133"/>
        <v>2</v>
      </c>
      <c r="U958" t="str">
        <f t="shared" si="134"/>
        <v>Low Profit</v>
      </c>
    </row>
    <row r="959" spans="1:21" x14ac:dyDescent="0.35">
      <c r="A959" s="5" t="s">
        <v>42</v>
      </c>
      <c r="B959" s="5" t="s">
        <v>300</v>
      </c>
      <c r="C959" t="s">
        <v>27</v>
      </c>
      <c r="D959" t="s">
        <v>1186</v>
      </c>
      <c r="E959" t="s">
        <v>23</v>
      </c>
      <c r="F959" t="s">
        <v>24</v>
      </c>
      <c r="G959" s="3">
        <v>40457</v>
      </c>
      <c r="H959">
        <v>423821055</v>
      </c>
      <c r="I959" s="3">
        <v>40473</v>
      </c>
      <c r="J959">
        <v>6923</v>
      </c>
      <c r="K959">
        <v>154.06</v>
      </c>
      <c r="L959">
        <v>90.93</v>
      </c>
      <c r="M959">
        <f t="shared" si="126"/>
        <v>1066557.3800000001</v>
      </c>
      <c r="N959">
        <f t="shared" si="127"/>
        <v>629508.39</v>
      </c>
      <c r="O959">
        <f t="shared" si="128"/>
        <v>437048.99000000011</v>
      </c>
      <c r="P959" s="6">
        <f t="shared" si="129"/>
        <v>0.40977541217707392</v>
      </c>
      <c r="Q959">
        <f t="shared" si="130"/>
        <v>16</v>
      </c>
      <c r="R959">
        <f t="shared" si="131"/>
        <v>2010</v>
      </c>
      <c r="S959" t="str">
        <f t="shared" si="132"/>
        <v>October</v>
      </c>
      <c r="T959">
        <f t="shared" si="133"/>
        <v>10</v>
      </c>
      <c r="U959" t="str">
        <f t="shared" si="134"/>
        <v>Medium Profit</v>
      </c>
    </row>
    <row r="960" spans="1:21" x14ac:dyDescent="0.35">
      <c r="A960" s="5" t="s">
        <v>42</v>
      </c>
      <c r="B960" s="5" t="s">
        <v>180</v>
      </c>
      <c r="C960" t="s">
        <v>27</v>
      </c>
      <c r="D960" t="s">
        <v>1187</v>
      </c>
      <c r="E960" t="s">
        <v>29</v>
      </c>
      <c r="F960" t="s">
        <v>66</v>
      </c>
      <c r="G960" s="3">
        <v>41251</v>
      </c>
      <c r="H960">
        <v>529970014</v>
      </c>
      <c r="I960" s="3">
        <v>41277</v>
      </c>
      <c r="J960">
        <v>8759</v>
      </c>
      <c r="K960">
        <v>154.06</v>
      </c>
      <c r="L960">
        <v>90.93</v>
      </c>
      <c r="M960">
        <f t="shared" si="126"/>
        <v>1349411.54</v>
      </c>
      <c r="N960">
        <f t="shared" si="127"/>
        <v>796455.87000000011</v>
      </c>
      <c r="O960">
        <f t="shared" si="128"/>
        <v>552955.66999999993</v>
      </c>
      <c r="P960" s="6">
        <f t="shared" si="129"/>
        <v>0.40977541217707381</v>
      </c>
      <c r="Q960">
        <f t="shared" si="130"/>
        <v>26</v>
      </c>
      <c r="R960">
        <f t="shared" si="131"/>
        <v>2012</v>
      </c>
      <c r="S960" t="str">
        <f t="shared" si="132"/>
        <v>December</v>
      </c>
      <c r="T960">
        <f t="shared" si="133"/>
        <v>12</v>
      </c>
      <c r="U960" t="str">
        <f t="shared" si="134"/>
        <v>High Profit</v>
      </c>
    </row>
    <row r="961" spans="1:21" x14ac:dyDescent="0.35">
      <c r="A961" s="5" t="s">
        <v>33</v>
      </c>
      <c r="B961" s="5" t="s">
        <v>655</v>
      </c>
      <c r="C961" t="s">
        <v>83</v>
      </c>
      <c r="D961" t="s">
        <v>1188</v>
      </c>
      <c r="E961" t="s">
        <v>23</v>
      </c>
      <c r="F961" t="s">
        <v>41</v>
      </c>
      <c r="G961" s="3">
        <v>42599</v>
      </c>
      <c r="H961">
        <v>334612929</v>
      </c>
      <c r="I961" s="3">
        <v>42646</v>
      </c>
      <c r="J961">
        <v>8256</v>
      </c>
      <c r="K961">
        <v>81.73</v>
      </c>
      <c r="L961">
        <v>56.67</v>
      </c>
      <c r="M961">
        <f t="shared" si="126"/>
        <v>674762.88</v>
      </c>
      <c r="N961">
        <f t="shared" si="127"/>
        <v>467867.52</v>
      </c>
      <c r="O961">
        <f t="shared" si="128"/>
        <v>206895.35999999999</v>
      </c>
      <c r="P961" s="6">
        <f t="shared" si="129"/>
        <v>0.30661935641747212</v>
      </c>
      <c r="Q961">
        <f t="shared" si="130"/>
        <v>47</v>
      </c>
      <c r="R961">
        <f t="shared" si="131"/>
        <v>2016</v>
      </c>
      <c r="S961" t="str">
        <f t="shared" si="132"/>
        <v>August</v>
      </c>
      <c r="T961">
        <f t="shared" si="133"/>
        <v>8</v>
      </c>
      <c r="U961" t="str">
        <f t="shared" si="134"/>
        <v>Medium Profit</v>
      </c>
    </row>
    <row r="962" spans="1:21" x14ac:dyDescent="0.35">
      <c r="A962" s="5" t="s">
        <v>33</v>
      </c>
      <c r="B962" s="5" t="s">
        <v>85</v>
      </c>
      <c r="C962" t="s">
        <v>72</v>
      </c>
      <c r="D962" t="s">
        <v>1189</v>
      </c>
      <c r="E962" t="s">
        <v>23</v>
      </c>
      <c r="F962" t="s">
        <v>24</v>
      </c>
      <c r="G962" s="3">
        <v>41752</v>
      </c>
      <c r="H962">
        <v>270611131</v>
      </c>
      <c r="I962" s="3">
        <v>41783</v>
      </c>
      <c r="J962">
        <v>8702</v>
      </c>
      <c r="K962">
        <v>47.45</v>
      </c>
      <c r="L962">
        <v>31.79</v>
      </c>
      <c r="M962">
        <f t="shared" si="126"/>
        <v>412909.9</v>
      </c>
      <c r="N962">
        <f t="shared" si="127"/>
        <v>276636.58</v>
      </c>
      <c r="O962">
        <f t="shared" si="128"/>
        <v>136273.32</v>
      </c>
      <c r="P962" s="6">
        <f t="shared" si="129"/>
        <v>0.33003161222339306</v>
      </c>
      <c r="Q962">
        <f t="shared" si="130"/>
        <v>31</v>
      </c>
      <c r="R962">
        <f t="shared" si="131"/>
        <v>2014</v>
      </c>
      <c r="S962" t="str">
        <f t="shared" si="132"/>
        <v>April</v>
      </c>
      <c r="T962">
        <f t="shared" si="133"/>
        <v>4</v>
      </c>
      <c r="U962" t="str">
        <f t="shared" si="134"/>
        <v>Medium Profit</v>
      </c>
    </row>
    <row r="963" spans="1:21" x14ac:dyDescent="0.35">
      <c r="A963" s="5" t="s">
        <v>19</v>
      </c>
      <c r="B963" s="5" t="s">
        <v>239</v>
      </c>
      <c r="C963" t="s">
        <v>69</v>
      </c>
      <c r="D963" t="s">
        <v>1190</v>
      </c>
      <c r="E963" t="s">
        <v>29</v>
      </c>
      <c r="F963" t="s">
        <v>32</v>
      </c>
      <c r="G963" s="3">
        <v>40500</v>
      </c>
      <c r="H963">
        <v>841138446</v>
      </c>
      <c r="I963" s="3">
        <v>40520</v>
      </c>
      <c r="J963">
        <v>413</v>
      </c>
      <c r="K963">
        <v>651.21</v>
      </c>
      <c r="L963">
        <v>524.96</v>
      </c>
      <c r="M963">
        <f t="shared" ref="M963:M1001" si="135">J963*K963</f>
        <v>268949.73000000004</v>
      </c>
      <c r="N963">
        <f t="shared" ref="N963:N1001" si="136">J963*L963</f>
        <v>216808.48</v>
      </c>
      <c r="O963">
        <f t="shared" ref="O963:O1001" si="137">M963-N963</f>
        <v>52141.250000000029</v>
      </c>
      <c r="P963" s="6">
        <f t="shared" ref="P963:P1001" si="138">O963/M963</f>
        <v>0.19386987300563574</v>
      </c>
      <c r="Q963">
        <f t="shared" ref="Q963:Q1001" si="139">I963-G963</f>
        <v>20</v>
      </c>
      <c r="R963">
        <f t="shared" ref="R963:R1001" si="140">YEAR(G963)</f>
        <v>2010</v>
      </c>
      <c r="S963" t="str">
        <f t="shared" ref="S963:S1001" si="141">TEXT(G963,"mmmm")</f>
        <v>November</v>
      </c>
      <c r="T963">
        <f t="shared" ref="T963:T1001" si="142">MONTH(G963)</f>
        <v>11</v>
      </c>
      <c r="U963" t="str">
        <f t="shared" ref="U963:U1001" si="143">IF(O963&gt;=500000,"High Profit",
IF(O963&gt;=100000,"Medium Profit","Low Profit"))</f>
        <v>Low Profit</v>
      </c>
    </row>
    <row r="964" spans="1:21" x14ac:dyDescent="0.35">
      <c r="A964" s="5" t="s">
        <v>37</v>
      </c>
      <c r="B964" s="5" t="s">
        <v>348</v>
      </c>
      <c r="C964" t="s">
        <v>60</v>
      </c>
      <c r="D964" t="s">
        <v>1191</v>
      </c>
      <c r="E964" t="s">
        <v>29</v>
      </c>
      <c r="F964" t="s">
        <v>24</v>
      </c>
      <c r="G964" s="3">
        <v>41021</v>
      </c>
      <c r="H964">
        <v>369681203</v>
      </c>
      <c r="I964" s="3">
        <v>41038</v>
      </c>
      <c r="J964">
        <v>5738</v>
      </c>
      <c r="K964">
        <v>668.27</v>
      </c>
      <c r="L964">
        <v>502.54</v>
      </c>
      <c r="M964">
        <f t="shared" si="135"/>
        <v>3834533.26</v>
      </c>
      <c r="N964">
        <f t="shared" si="136"/>
        <v>2883574.52</v>
      </c>
      <c r="O964">
        <f t="shared" si="137"/>
        <v>950958.73999999976</v>
      </c>
      <c r="P964" s="6">
        <f t="shared" si="138"/>
        <v>0.24799856345489094</v>
      </c>
      <c r="Q964">
        <f t="shared" si="139"/>
        <v>17</v>
      </c>
      <c r="R964">
        <f t="shared" si="140"/>
        <v>2012</v>
      </c>
      <c r="S964" t="str">
        <f t="shared" si="141"/>
        <v>April</v>
      </c>
      <c r="T964">
        <f t="shared" si="142"/>
        <v>4</v>
      </c>
      <c r="U964" t="str">
        <f t="shared" si="143"/>
        <v>High Profit</v>
      </c>
    </row>
    <row r="965" spans="1:21" x14ac:dyDescent="0.35">
      <c r="A965" s="5" t="s">
        <v>42</v>
      </c>
      <c r="B965" s="5" t="s">
        <v>405</v>
      </c>
      <c r="C965" t="s">
        <v>60</v>
      </c>
      <c r="D965" t="s">
        <v>1192</v>
      </c>
      <c r="E965" t="s">
        <v>23</v>
      </c>
      <c r="F965" t="s">
        <v>24</v>
      </c>
      <c r="G965" s="3">
        <v>41734</v>
      </c>
      <c r="H965">
        <v>850038230</v>
      </c>
      <c r="I965" s="3">
        <v>41750</v>
      </c>
      <c r="J965">
        <v>4057</v>
      </c>
      <c r="K965">
        <v>668.27</v>
      </c>
      <c r="L965">
        <v>502.54</v>
      </c>
      <c r="M965">
        <f t="shared" si="135"/>
        <v>2711171.39</v>
      </c>
      <c r="N965">
        <f t="shared" si="136"/>
        <v>2038804.78</v>
      </c>
      <c r="O965">
        <f t="shared" si="137"/>
        <v>672366.6100000001</v>
      </c>
      <c r="P965" s="6">
        <f t="shared" si="138"/>
        <v>0.24799856345489102</v>
      </c>
      <c r="Q965">
        <f t="shared" si="139"/>
        <v>16</v>
      </c>
      <c r="R965">
        <f t="shared" si="140"/>
        <v>2014</v>
      </c>
      <c r="S965" t="str">
        <f t="shared" si="141"/>
        <v>April</v>
      </c>
      <c r="T965">
        <f t="shared" si="142"/>
        <v>4</v>
      </c>
      <c r="U965" t="str">
        <f t="shared" si="143"/>
        <v>High Profit</v>
      </c>
    </row>
    <row r="966" spans="1:21" x14ac:dyDescent="0.35">
      <c r="A966" s="5" t="s">
        <v>19</v>
      </c>
      <c r="B966" s="5" t="s">
        <v>320</v>
      </c>
      <c r="C966" t="s">
        <v>72</v>
      </c>
      <c r="D966" t="s">
        <v>1193</v>
      </c>
      <c r="E966" t="s">
        <v>29</v>
      </c>
      <c r="F966" t="s">
        <v>24</v>
      </c>
      <c r="G966" s="3">
        <v>41446</v>
      </c>
      <c r="H966">
        <v>296320855</v>
      </c>
      <c r="I966" s="3">
        <v>41468</v>
      </c>
      <c r="J966">
        <v>6781</v>
      </c>
      <c r="K966">
        <v>47.45</v>
      </c>
      <c r="L966">
        <v>31.79</v>
      </c>
      <c r="M966">
        <f t="shared" si="135"/>
        <v>321758.45</v>
      </c>
      <c r="N966">
        <f t="shared" si="136"/>
        <v>215567.99</v>
      </c>
      <c r="O966">
        <f t="shared" si="137"/>
        <v>106190.46000000002</v>
      </c>
      <c r="P966" s="6">
        <f t="shared" si="138"/>
        <v>0.33003161222339311</v>
      </c>
      <c r="Q966">
        <f t="shared" si="139"/>
        <v>22</v>
      </c>
      <c r="R966">
        <f t="shared" si="140"/>
        <v>2013</v>
      </c>
      <c r="S966" t="str">
        <f t="shared" si="141"/>
        <v>June</v>
      </c>
      <c r="T966">
        <f t="shared" si="142"/>
        <v>6</v>
      </c>
      <c r="U966" t="str">
        <f t="shared" si="143"/>
        <v>Medium Profit</v>
      </c>
    </row>
    <row r="967" spans="1:21" x14ac:dyDescent="0.35">
      <c r="A967" s="5" t="s">
        <v>53</v>
      </c>
      <c r="B967" s="5" t="s">
        <v>663</v>
      </c>
      <c r="C967" t="s">
        <v>21</v>
      </c>
      <c r="D967" t="s">
        <v>1194</v>
      </c>
      <c r="E967" t="s">
        <v>23</v>
      </c>
      <c r="F967" t="s">
        <v>66</v>
      </c>
      <c r="G967" s="3">
        <v>40737</v>
      </c>
      <c r="H967">
        <v>392952907</v>
      </c>
      <c r="I967" s="3">
        <v>40768</v>
      </c>
      <c r="J967">
        <v>2352</v>
      </c>
      <c r="K967">
        <v>437.2</v>
      </c>
      <c r="L967">
        <v>263.33</v>
      </c>
      <c r="M967">
        <f t="shared" si="135"/>
        <v>1028294.4</v>
      </c>
      <c r="N967">
        <f t="shared" si="136"/>
        <v>619352.15999999992</v>
      </c>
      <c r="O967">
        <f t="shared" si="137"/>
        <v>408942.24000000011</v>
      </c>
      <c r="P967" s="6">
        <f t="shared" si="138"/>
        <v>0.39768984446477595</v>
      </c>
      <c r="Q967">
        <f t="shared" si="139"/>
        <v>31</v>
      </c>
      <c r="R967">
        <f t="shared" si="140"/>
        <v>2011</v>
      </c>
      <c r="S967" t="str">
        <f t="shared" si="141"/>
        <v>July</v>
      </c>
      <c r="T967">
        <f t="shared" si="142"/>
        <v>7</v>
      </c>
      <c r="U967" t="str">
        <f t="shared" si="143"/>
        <v>Medium Profit</v>
      </c>
    </row>
    <row r="968" spans="1:21" x14ac:dyDescent="0.35">
      <c r="A968" s="5" t="s">
        <v>50</v>
      </c>
      <c r="B968" s="5" t="s">
        <v>918</v>
      </c>
      <c r="C968" t="s">
        <v>58</v>
      </c>
      <c r="D968" t="s">
        <v>1195</v>
      </c>
      <c r="E968" t="s">
        <v>29</v>
      </c>
      <c r="F968" t="s">
        <v>24</v>
      </c>
      <c r="G968" s="3">
        <v>40575</v>
      </c>
      <c r="H968">
        <v>644670712</v>
      </c>
      <c r="I968" s="3">
        <v>40623</v>
      </c>
      <c r="J968">
        <v>1245</v>
      </c>
      <c r="K968">
        <v>152.58000000000001</v>
      </c>
      <c r="L968">
        <v>97.44</v>
      </c>
      <c r="M968">
        <f t="shared" si="135"/>
        <v>189962.1</v>
      </c>
      <c r="N968">
        <f t="shared" si="136"/>
        <v>121312.8</v>
      </c>
      <c r="O968">
        <f t="shared" si="137"/>
        <v>68649.3</v>
      </c>
      <c r="P968" s="6">
        <f t="shared" si="138"/>
        <v>0.36138419189933152</v>
      </c>
      <c r="Q968">
        <f t="shared" si="139"/>
        <v>48</v>
      </c>
      <c r="R968">
        <f t="shared" si="140"/>
        <v>2011</v>
      </c>
      <c r="S968" t="str">
        <f t="shared" si="141"/>
        <v>February</v>
      </c>
      <c r="T968">
        <f t="shared" si="142"/>
        <v>2</v>
      </c>
      <c r="U968" t="str">
        <f t="shared" si="143"/>
        <v>Low Profit</v>
      </c>
    </row>
    <row r="969" spans="1:21" x14ac:dyDescent="0.35">
      <c r="A969" s="5" t="s">
        <v>50</v>
      </c>
      <c r="B969" s="5" t="s">
        <v>631</v>
      </c>
      <c r="C969" t="s">
        <v>92</v>
      </c>
      <c r="D969" t="s">
        <v>1196</v>
      </c>
      <c r="E969" t="s">
        <v>29</v>
      </c>
      <c r="F969" t="s">
        <v>66</v>
      </c>
      <c r="G969" s="3">
        <v>40935</v>
      </c>
      <c r="H969">
        <v>626523101</v>
      </c>
      <c r="I969" s="3">
        <v>40955</v>
      </c>
      <c r="J969">
        <v>963</v>
      </c>
      <c r="K969">
        <v>421.89</v>
      </c>
      <c r="L969">
        <v>364.69</v>
      </c>
      <c r="M969">
        <f t="shared" si="135"/>
        <v>406280.07</v>
      </c>
      <c r="N969">
        <f t="shared" si="136"/>
        <v>351196.47</v>
      </c>
      <c r="O969">
        <f t="shared" si="137"/>
        <v>55083.600000000035</v>
      </c>
      <c r="P969" s="6">
        <f t="shared" si="138"/>
        <v>0.13558036455000128</v>
      </c>
      <c r="Q969">
        <f t="shared" si="139"/>
        <v>20</v>
      </c>
      <c r="R969">
        <f t="shared" si="140"/>
        <v>2012</v>
      </c>
      <c r="S969" t="str">
        <f t="shared" si="141"/>
        <v>January</v>
      </c>
      <c r="T969">
        <f t="shared" si="142"/>
        <v>1</v>
      </c>
      <c r="U969" t="str">
        <f t="shared" si="143"/>
        <v>Low Profit</v>
      </c>
    </row>
    <row r="970" spans="1:21" x14ac:dyDescent="0.35">
      <c r="A970" s="5" t="s">
        <v>19</v>
      </c>
      <c r="B970" s="5" t="s">
        <v>669</v>
      </c>
      <c r="C970" t="s">
        <v>27</v>
      </c>
      <c r="D970" t="s">
        <v>1197</v>
      </c>
      <c r="E970" t="s">
        <v>23</v>
      </c>
      <c r="F970" t="s">
        <v>24</v>
      </c>
      <c r="G970" s="3">
        <v>42179</v>
      </c>
      <c r="H970">
        <v>433871400</v>
      </c>
      <c r="I970" s="3">
        <v>42186</v>
      </c>
      <c r="J970">
        <v>1044</v>
      </c>
      <c r="K970">
        <v>154.06</v>
      </c>
      <c r="L970">
        <v>90.93</v>
      </c>
      <c r="M970">
        <f t="shared" si="135"/>
        <v>160838.64000000001</v>
      </c>
      <c r="N970">
        <f t="shared" si="136"/>
        <v>94930.920000000013</v>
      </c>
      <c r="O970">
        <f t="shared" si="137"/>
        <v>65907.72</v>
      </c>
      <c r="P970" s="6">
        <f t="shared" si="138"/>
        <v>0.40977541217707386</v>
      </c>
      <c r="Q970">
        <f t="shared" si="139"/>
        <v>7</v>
      </c>
      <c r="R970">
        <f t="shared" si="140"/>
        <v>2015</v>
      </c>
      <c r="S970" t="str">
        <f t="shared" si="141"/>
        <v>June</v>
      </c>
      <c r="T970">
        <f t="shared" si="142"/>
        <v>6</v>
      </c>
      <c r="U970" t="str">
        <f t="shared" si="143"/>
        <v>Low Profit</v>
      </c>
    </row>
    <row r="971" spans="1:21" x14ac:dyDescent="0.35">
      <c r="A971" s="5" t="s">
        <v>33</v>
      </c>
      <c r="B971" s="5" t="s">
        <v>123</v>
      </c>
      <c r="C971" t="s">
        <v>58</v>
      </c>
      <c r="D971" t="s">
        <v>1198</v>
      </c>
      <c r="E971" t="s">
        <v>23</v>
      </c>
      <c r="F971" t="s">
        <v>24</v>
      </c>
      <c r="G971" s="3">
        <v>40911</v>
      </c>
      <c r="H971">
        <v>232389438</v>
      </c>
      <c r="I971" s="3">
        <v>40916</v>
      </c>
      <c r="J971">
        <v>8054</v>
      </c>
      <c r="K971">
        <v>152.58000000000001</v>
      </c>
      <c r="L971">
        <v>97.44</v>
      </c>
      <c r="M971">
        <f t="shared" si="135"/>
        <v>1228879.32</v>
      </c>
      <c r="N971">
        <f t="shared" si="136"/>
        <v>784781.76</v>
      </c>
      <c r="O971">
        <f t="shared" si="137"/>
        <v>444097.56000000006</v>
      </c>
      <c r="P971" s="6">
        <f t="shared" si="138"/>
        <v>0.36138419189933152</v>
      </c>
      <c r="Q971">
        <f t="shared" si="139"/>
        <v>5</v>
      </c>
      <c r="R971">
        <f t="shared" si="140"/>
        <v>2012</v>
      </c>
      <c r="S971" t="str">
        <f t="shared" si="141"/>
        <v>January</v>
      </c>
      <c r="T971">
        <f t="shared" si="142"/>
        <v>1</v>
      </c>
      <c r="U971" t="str">
        <f t="shared" si="143"/>
        <v>Medium Profit</v>
      </c>
    </row>
    <row r="972" spans="1:21" x14ac:dyDescent="0.35">
      <c r="A972" s="5" t="s">
        <v>50</v>
      </c>
      <c r="B972" s="5" t="s">
        <v>631</v>
      </c>
      <c r="C972" t="s">
        <v>35</v>
      </c>
      <c r="D972" t="s">
        <v>1199</v>
      </c>
      <c r="E972" t="s">
        <v>23</v>
      </c>
      <c r="F972" t="s">
        <v>41</v>
      </c>
      <c r="G972" s="3">
        <v>42421</v>
      </c>
      <c r="H972">
        <v>708063542</v>
      </c>
      <c r="I972" s="3">
        <v>42448</v>
      </c>
      <c r="J972">
        <v>592</v>
      </c>
      <c r="K972">
        <v>205.7</v>
      </c>
      <c r="L972">
        <v>117.11</v>
      </c>
      <c r="M972">
        <f t="shared" si="135"/>
        <v>121774.39999999999</v>
      </c>
      <c r="N972">
        <f t="shared" si="136"/>
        <v>69329.119999999995</v>
      </c>
      <c r="O972">
        <f t="shared" si="137"/>
        <v>52445.279999999999</v>
      </c>
      <c r="P972" s="6">
        <f t="shared" si="138"/>
        <v>0.43067574137092857</v>
      </c>
      <c r="Q972">
        <f t="shared" si="139"/>
        <v>27</v>
      </c>
      <c r="R972">
        <f t="shared" si="140"/>
        <v>2016</v>
      </c>
      <c r="S972" t="str">
        <f t="shared" si="141"/>
        <v>February</v>
      </c>
      <c r="T972">
        <f t="shared" si="142"/>
        <v>2</v>
      </c>
      <c r="U972" t="str">
        <f t="shared" si="143"/>
        <v>Low Profit</v>
      </c>
    </row>
    <row r="973" spans="1:21" x14ac:dyDescent="0.35">
      <c r="A973" s="5" t="s">
        <v>37</v>
      </c>
      <c r="B973" s="5" t="s">
        <v>62</v>
      </c>
      <c r="C973" t="s">
        <v>27</v>
      </c>
      <c r="D973" t="s">
        <v>1200</v>
      </c>
      <c r="E973" t="s">
        <v>23</v>
      </c>
      <c r="F973" t="s">
        <v>41</v>
      </c>
      <c r="G973" s="3">
        <v>42708</v>
      </c>
      <c r="H973">
        <v>817192542</v>
      </c>
      <c r="I973" s="3">
        <v>42726</v>
      </c>
      <c r="J973">
        <v>4288</v>
      </c>
      <c r="K973">
        <v>154.06</v>
      </c>
      <c r="L973">
        <v>90.93</v>
      </c>
      <c r="M973">
        <f t="shared" si="135"/>
        <v>660609.28000000003</v>
      </c>
      <c r="N973">
        <f t="shared" si="136"/>
        <v>389907.84</v>
      </c>
      <c r="O973">
        <f t="shared" si="137"/>
        <v>270701.44</v>
      </c>
      <c r="P973" s="6">
        <f t="shared" si="138"/>
        <v>0.40977541217707386</v>
      </c>
      <c r="Q973">
        <f t="shared" si="139"/>
        <v>18</v>
      </c>
      <c r="R973">
        <f t="shared" si="140"/>
        <v>2016</v>
      </c>
      <c r="S973" t="str">
        <f t="shared" si="141"/>
        <v>December</v>
      </c>
      <c r="T973">
        <f t="shared" si="142"/>
        <v>12</v>
      </c>
      <c r="U973" t="str">
        <f t="shared" si="143"/>
        <v>Medium Profit</v>
      </c>
    </row>
    <row r="974" spans="1:21" x14ac:dyDescent="0.35">
      <c r="A974" s="5" t="s">
        <v>50</v>
      </c>
      <c r="B974" s="5" t="s">
        <v>435</v>
      </c>
      <c r="C974" t="s">
        <v>92</v>
      </c>
      <c r="D974" t="s">
        <v>1201</v>
      </c>
      <c r="E974" t="s">
        <v>23</v>
      </c>
      <c r="F974" t="s">
        <v>41</v>
      </c>
      <c r="G974" s="3">
        <v>40924</v>
      </c>
      <c r="H974">
        <v>936387765</v>
      </c>
      <c r="I974" s="3">
        <v>40968</v>
      </c>
      <c r="J974">
        <v>6803</v>
      </c>
      <c r="K974">
        <v>421.89</v>
      </c>
      <c r="L974">
        <v>364.69</v>
      </c>
      <c r="M974">
        <f t="shared" si="135"/>
        <v>2870117.67</v>
      </c>
      <c r="N974">
        <f t="shared" si="136"/>
        <v>2480986.0699999998</v>
      </c>
      <c r="O974">
        <f t="shared" si="137"/>
        <v>389131.60000000009</v>
      </c>
      <c r="P974" s="6">
        <f t="shared" si="138"/>
        <v>0.13558036455000122</v>
      </c>
      <c r="Q974">
        <f t="shared" si="139"/>
        <v>44</v>
      </c>
      <c r="R974">
        <f t="shared" si="140"/>
        <v>2012</v>
      </c>
      <c r="S974" t="str">
        <f t="shared" si="141"/>
        <v>January</v>
      </c>
      <c r="T974">
        <f t="shared" si="142"/>
        <v>1</v>
      </c>
      <c r="U974" t="str">
        <f t="shared" si="143"/>
        <v>Medium Profit</v>
      </c>
    </row>
    <row r="975" spans="1:21" x14ac:dyDescent="0.35">
      <c r="A975" s="5" t="s">
        <v>33</v>
      </c>
      <c r="B975" s="5" t="s">
        <v>289</v>
      </c>
      <c r="C975" t="s">
        <v>48</v>
      </c>
      <c r="D975" t="s">
        <v>1202</v>
      </c>
      <c r="E975" t="s">
        <v>23</v>
      </c>
      <c r="F975" t="s">
        <v>41</v>
      </c>
      <c r="G975" s="3">
        <v>40761</v>
      </c>
      <c r="H975">
        <v>612573039</v>
      </c>
      <c r="I975" s="3">
        <v>40764</v>
      </c>
      <c r="J975">
        <v>2830</v>
      </c>
      <c r="K975">
        <v>109.28</v>
      </c>
      <c r="L975">
        <v>35.840000000000003</v>
      </c>
      <c r="M975">
        <f t="shared" si="135"/>
        <v>309262.40000000002</v>
      </c>
      <c r="N975">
        <f t="shared" si="136"/>
        <v>101427.20000000001</v>
      </c>
      <c r="O975">
        <f t="shared" si="137"/>
        <v>207835.2</v>
      </c>
      <c r="P975" s="6">
        <f t="shared" si="138"/>
        <v>0.67203513909224011</v>
      </c>
      <c r="Q975">
        <f t="shared" si="139"/>
        <v>3</v>
      </c>
      <c r="R975">
        <f t="shared" si="140"/>
        <v>2011</v>
      </c>
      <c r="S975" t="str">
        <f t="shared" si="141"/>
        <v>August</v>
      </c>
      <c r="T975">
        <f t="shared" si="142"/>
        <v>8</v>
      </c>
      <c r="U975" t="str">
        <f t="shared" si="143"/>
        <v>Medium Profit</v>
      </c>
    </row>
    <row r="976" spans="1:21" x14ac:dyDescent="0.35">
      <c r="A976" s="5" t="s">
        <v>19</v>
      </c>
      <c r="B976" s="5" t="s">
        <v>221</v>
      </c>
      <c r="C976" t="s">
        <v>48</v>
      </c>
      <c r="D976" t="s">
        <v>1203</v>
      </c>
      <c r="E976" t="s">
        <v>29</v>
      </c>
      <c r="F976" t="s">
        <v>24</v>
      </c>
      <c r="G976" s="3">
        <v>40767</v>
      </c>
      <c r="H976">
        <v>812984693</v>
      </c>
      <c r="I976" s="3">
        <v>40777</v>
      </c>
      <c r="J976">
        <v>9092</v>
      </c>
      <c r="K976">
        <v>109.28</v>
      </c>
      <c r="L976">
        <v>35.840000000000003</v>
      </c>
      <c r="M976">
        <f t="shared" si="135"/>
        <v>993573.76</v>
      </c>
      <c r="N976">
        <f t="shared" si="136"/>
        <v>325857.28000000003</v>
      </c>
      <c r="O976">
        <f t="shared" si="137"/>
        <v>667716.48</v>
      </c>
      <c r="P976" s="6">
        <f t="shared" si="138"/>
        <v>0.67203513909224011</v>
      </c>
      <c r="Q976">
        <f t="shared" si="139"/>
        <v>10</v>
      </c>
      <c r="R976">
        <f t="shared" si="140"/>
        <v>2011</v>
      </c>
      <c r="S976" t="str">
        <f t="shared" si="141"/>
        <v>August</v>
      </c>
      <c r="T976">
        <f t="shared" si="142"/>
        <v>8</v>
      </c>
      <c r="U976" t="str">
        <f t="shared" si="143"/>
        <v>High Profit</v>
      </c>
    </row>
    <row r="977" spans="1:21" x14ac:dyDescent="0.35">
      <c r="A977" s="5" t="s">
        <v>50</v>
      </c>
      <c r="B977" s="5" t="s">
        <v>152</v>
      </c>
      <c r="C977" t="s">
        <v>92</v>
      </c>
      <c r="D977" t="s">
        <v>1204</v>
      </c>
      <c r="E977" t="s">
        <v>23</v>
      </c>
      <c r="F977" t="s">
        <v>32</v>
      </c>
      <c r="G977" s="3">
        <v>41261</v>
      </c>
      <c r="H977">
        <v>775171554</v>
      </c>
      <c r="I977" s="3">
        <v>41279</v>
      </c>
      <c r="J977">
        <v>9344</v>
      </c>
      <c r="K977">
        <v>421.89</v>
      </c>
      <c r="L977">
        <v>364.69</v>
      </c>
      <c r="M977">
        <f t="shared" si="135"/>
        <v>3942140.1599999997</v>
      </c>
      <c r="N977">
        <f t="shared" si="136"/>
        <v>3407663.36</v>
      </c>
      <c r="O977">
        <f t="shared" si="137"/>
        <v>534476.79999999981</v>
      </c>
      <c r="P977" s="6">
        <f t="shared" si="138"/>
        <v>0.13558036455000114</v>
      </c>
      <c r="Q977">
        <f t="shared" si="139"/>
        <v>18</v>
      </c>
      <c r="R977">
        <f t="shared" si="140"/>
        <v>2012</v>
      </c>
      <c r="S977" t="str">
        <f t="shared" si="141"/>
        <v>December</v>
      </c>
      <c r="T977">
        <f t="shared" si="142"/>
        <v>12</v>
      </c>
      <c r="U977" t="str">
        <f t="shared" si="143"/>
        <v>High Profit</v>
      </c>
    </row>
    <row r="978" spans="1:21" x14ac:dyDescent="0.35">
      <c r="A978" s="5" t="s">
        <v>37</v>
      </c>
      <c r="B978" s="5" t="s">
        <v>120</v>
      </c>
      <c r="C978" t="s">
        <v>60</v>
      </c>
      <c r="D978" t="s">
        <v>1205</v>
      </c>
      <c r="E978" t="s">
        <v>29</v>
      </c>
      <c r="F978" t="s">
        <v>41</v>
      </c>
      <c r="G978" s="3">
        <v>40188</v>
      </c>
      <c r="H978">
        <v>256994950</v>
      </c>
      <c r="I978" s="3">
        <v>40228</v>
      </c>
      <c r="J978">
        <v>9372</v>
      </c>
      <c r="K978">
        <v>668.27</v>
      </c>
      <c r="L978">
        <v>502.54</v>
      </c>
      <c r="M978">
        <f t="shared" si="135"/>
        <v>6263026.4399999995</v>
      </c>
      <c r="N978">
        <f t="shared" si="136"/>
        <v>4709804.88</v>
      </c>
      <c r="O978">
        <f t="shared" si="137"/>
        <v>1553221.5599999996</v>
      </c>
      <c r="P978" s="6">
        <f t="shared" si="138"/>
        <v>0.24799856345489094</v>
      </c>
      <c r="Q978">
        <f t="shared" si="139"/>
        <v>40</v>
      </c>
      <c r="R978">
        <f t="shared" si="140"/>
        <v>2010</v>
      </c>
      <c r="S978" t="str">
        <f t="shared" si="141"/>
        <v>January</v>
      </c>
      <c r="T978">
        <f t="shared" si="142"/>
        <v>1</v>
      </c>
      <c r="U978" t="str">
        <f t="shared" si="143"/>
        <v>High Profit</v>
      </c>
    </row>
    <row r="979" spans="1:21" x14ac:dyDescent="0.35">
      <c r="A979" s="5" t="s">
        <v>19</v>
      </c>
      <c r="B979" s="5" t="s">
        <v>310</v>
      </c>
      <c r="C979" t="s">
        <v>72</v>
      </c>
      <c r="D979" t="s">
        <v>1206</v>
      </c>
      <c r="E979" t="s">
        <v>23</v>
      </c>
      <c r="F979" t="s">
        <v>24</v>
      </c>
      <c r="G979" s="3">
        <v>42794</v>
      </c>
      <c r="H979">
        <v>886628711</v>
      </c>
      <c r="I979" s="3">
        <v>42825</v>
      </c>
      <c r="J979">
        <v>1993</v>
      </c>
      <c r="K979">
        <v>47.45</v>
      </c>
      <c r="L979">
        <v>31.79</v>
      </c>
      <c r="M979">
        <f t="shared" si="135"/>
        <v>94567.85</v>
      </c>
      <c r="N979">
        <f t="shared" si="136"/>
        <v>63357.47</v>
      </c>
      <c r="O979">
        <f t="shared" si="137"/>
        <v>31210.380000000005</v>
      </c>
      <c r="P979" s="6">
        <f t="shared" si="138"/>
        <v>0.33003161222339306</v>
      </c>
      <c r="Q979">
        <f t="shared" si="139"/>
        <v>31</v>
      </c>
      <c r="R979">
        <f t="shared" si="140"/>
        <v>2017</v>
      </c>
      <c r="S979" t="str">
        <f t="shared" si="141"/>
        <v>February</v>
      </c>
      <c r="T979">
        <f t="shared" si="142"/>
        <v>2</v>
      </c>
      <c r="U979" t="str">
        <f t="shared" si="143"/>
        <v>Low Profit</v>
      </c>
    </row>
    <row r="980" spans="1:21" x14ac:dyDescent="0.35">
      <c r="A980" s="5" t="s">
        <v>37</v>
      </c>
      <c r="B980" s="5" t="s">
        <v>133</v>
      </c>
      <c r="C980" t="s">
        <v>72</v>
      </c>
      <c r="D980" t="s">
        <v>1207</v>
      </c>
      <c r="E980" t="s">
        <v>29</v>
      </c>
      <c r="F980" t="s">
        <v>32</v>
      </c>
      <c r="G980" s="3">
        <v>40885</v>
      </c>
      <c r="H980">
        <v>312559163</v>
      </c>
      <c r="I980" s="3">
        <v>40893</v>
      </c>
      <c r="J980">
        <v>2057</v>
      </c>
      <c r="K980">
        <v>47.45</v>
      </c>
      <c r="L980">
        <v>31.79</v>
      </c>
      <c r="M980">
        <f t="shared" si="135"/>
        <v>97604.650000000009</v>
      </c>
      <c r="N980">
        <f t="shared" si="136"/>
        <v>65392.03</v>
      </c>
      <c r="O980">
        <f t="shared" si="137"/>
        <v>32212.62000000001</v>
      </c>
      <c r="P980" s="6">
        <f t="shared" si="138"/>
        <v>0.33003161222339311</v>
      </c>
      <c r="Q980">
        <f t="shared" si="139"/>
        <v>8</v>
      </c>
      <c r="R980">
        <f t="shared" si="140"/>
        <v>2011</v>
      </c>
      <c r="S980" t="str">
        <f t="shared" si="141"/>
        <v>December</v>
      </c>
      <c r="T980">
        <f t="shared" si="142"/>
        <v>12</v>
      </c>
      <c r="U980" t="str">
        <f t="shared" si="143"/>
        <v>Low Profit</v>
      </c>
    </row>
    <row r="981" spans="1:21" x14ac:dyDescent="0.35">
      <c r="A981" s="5" t="s">
        <v>42</v>
      </c>
      <c r="B981" s="5" t="s">
        <v>166</v>
      </c>
      <c r="C981" t="s">
        <v>35</v>
      </c>
      <c r="D981" t="s">
        <v>1208</v>
      </c>
      <c r="E981" t="s">
        <v>29</v>
      </c>
      <c r="F981" t="s">
        <v>66</v>
      </c>
      <c r="G981" s="3">
        <v>41869</v>
      </c>
      <c r="H981">
        <v>753585135</v>
      </c>
      <c r="I981" s="3">
        <v>41895</v>
      </c>
      <c r="J981">
        <v>1443</v>
      </c>
      <c r="K981">
        <v>205.7</v>
      </c>
      <c r="L981">
        <v>117.11</v>
      </c>
      <c r="M981">
        <f t="shared" si="135"/>
        <v>296825.09999999998</v>
      </c>
      <c r="N981">
        <f t="shared" si="136"/>
        <v>168989.73</v>
      </c>
      <c r="O981">
        <f t="shared" si="137"/>
        <v>127835.36999999997</v>
      </c>
      <c r="P981" s="6">
        <f t="shared" si="138"/>
        <v>0.43067574137092846</v>
      </c>
      <c r="Q981">
        <f t="shared" si="139"/>
        <v>26</v>
      </c>
      <c r="R981">
        <f t="shared" si="140"/>
        <v>2014</v>
      </c>
      <c r="S981" t="str">
        <f t="shared" si="141"/>
        <v>August</v>
      </c>
      <c r="T981">
        <f t="shared" si="142"/>
        <v>8</v>
      </c>
      <c r="U981" t="str">
        <f t="shared" si="143"/>
        <v>Medium Profit</v>
      </c>
    </row>
    <row r="982" spans="1:21" x14ac:dyDescent="0.35">
      <c r="A982" s="5" t="s">
        <v>53</v>
      </c>
      <c r="B982" s="5" t="s">
        <v>54</v>
      </c>
      <c r="C982" t="s">
        <v>72</v>
      </c>
      <c r="D982" t="s">
        <v>1209</v>
      </c>
      <c r="E982" t="s">
        <v>23</v>
      </c>
      <c r="F982" t="s">
        <v>41</v>
      </c>
      <c r="G982" s="3">
        <v>42479</v>
      </c>
      <c r="H982">
        <v>448817956</v>
      </c>
      <c r="I982" s="3">
        <v>42482</v>
      </c>
      <c r="J982">
        <v>4062</v>
      </c>
      <c r="K982">
        <v>47.45</v>
      </c>
      <c r="L982">
        <v>31.79</v>
      </c>
      <c r="M982">
        <f t="shared" si="135"/>
        <v>192741.90000000002</v>
      </c>
      <c r="N982">
        <f t="shared" si="136"/>
        <v>129130.98</v>
      </c>
      <c r="O982">
        <f t="shared" si="137"/>
        <v>63610.920000000027</v>
      </c>
      <c r="P982" s="6">
        <f t="shared" si="138"/>
        <v>0.33003161222339317</v>
      </c>
      <c r="Q982">
        <f t="shared" si="139"/>
        <v>3</v>
      </c>
      <c r="R982">
        <f t="shared" si="140"/>
        <v>2016</v>
      </c>
      <c r="S982" t="str">
        <f t="shared" si="141"/>
        <v>April</v>
      </c>
      <c r="T982">
        <f t="shared" si="142"/>
        <v>4</v>
      </c>
      <c r="U982" t="str">
        <f t="shared" si="143"/>
        <v>Low Profit</v>
      </c>
    </row>
    <row r="983" spans="1:21" x14ac:dyDescent="0.35">
      <c r="A983" s="5" t="s">
        <v>53</v>
      </c>
      <c r="B983" s="5" t="s">
        <v>54</v>
      </c>
      <c r="C983" t="s">
        <v>48</v>
      </c>
      <c r="D983" t="s">
        <v>1210</v>
      </c>
      <c r="E983" t="s">
        <v>23</v>
      </c>
      <c r="F983" t="s">
        <v>24</v>
      </c>
      <c r="G983" s="3">
        <v>41219</v>
      </c>
      <c r="H983">
        <v>407681453</v>
      </c>
      <c r="I983" s="3">
        <v>41267</v>
      </c>
      <c r="J983">
        <v>856</v>
      </c>
      <c r="K983">
        <v>109.28</v>
      </c>
      <c r="L983">
        <v>35.840000000000003</v>
      </c>
      <c r="M983">
        <f t="shared" si="135"/>
        <v>93543.680000000008</v>
      </c>
      <c r="N983">
        <f t="shared" si="136"/>
        <v>30679.040000000005</v>
      </c>
      <c r="O983">
        <f t="shared" si="137"/>
        <v>62864.639999999999</v>
      </c>
      <c r="P983" s="6">
        <f t="shared" si="138"/>
        <v>0.67203513909224011</v>
      </c>
      <c r="Q983">
        <f t="shared" si="139"/>
        <v>48</v>
      </c>
      <c r="R983">
        <f t="shared" si="140"/>
        <v>2012</v>
      </c>
      <c r="S983" t="str">
        <f t="shared" si="141"/>
        <v>November</v>
      </c>
      <c r="T983">
        <f t="shared" si="142"/>
        <v>11</v>
      </c>
      <c r="U983" t="str">
        <f t="shared" si="143"/>
        <v>Low Profit</v>
      </c>
    </row>
    <row r="984" spans="1:21" x14ac:dyDescent="0.35">
      <c r="A984" s="5" t="s">
        <v>42</v>
      </c>
      <c r="B984" s="5" t="s">
        <v>400</v>
      </c>
      <c r="C984" t="s">
        <v>58</v>
      </c>
      <c r="D984" t="s">
        <v>1211</v>
      </c>
      <c r="E984" t="s">
        <v>29</v>
      </c>
      <c r="F984" t="s">
        <v>41</v>
      </c>
      <c r="G984" s="3">
        <v>42517</v>
      </c>
      <c r="H984">
        <v>359911954</v>
      </c>
      <c r="I984" s="3">
        <v>42544</v>
      </c>
      <c r="J984">
        <v>4800</v>
      </c>
      <c r="K984">
        <v>152.58000000000001</v>
      </c>
      <c r="L984">
        <v>97.44</v>
      </c>
      <c r="M984">
        <f t="shared" si="135"/>
        <v>732384.00000000012</v>
      </c>
      <c r="N984">
        <f t="shared" si="136"/>
        <v>467712</v>
      </c>
      <c r="O984">
        <f t="shared" si="137"/>
        <v>264672.00000000012</v>
      </c>
      <c r="P984" s="6">
        <f t="shared" si="138"/>
        <v>0.36138419189933157</v>
      </c>
      <c r="Q984">
        <f t="shared" si="139"/>
        <v>27</v>
      </c>
      <c r="R984">
        <f t="shared" si="140"/>
        <v>2016</v>
      </c>
      <c r="S984" t="str">
        <f t="shared" si="141"/>
        <v>May</v>
      </c>
      <c r="T984">
        <f t="shared" si="142"/>
        <v>5</v>
      </c>
      <c r="U984" t="str">
        <f t="shared" si="143"/>
        <v>Medium Profit</v>
      </c>
    </row>
    <row r="985" spans="1:21" x14ac:dyDescent="0.35">
      <c r="A985" s="5" t="s">
        <v>19</v>
      </c>
      <c r="B985" s="5" t="s">
        <v>452</v>
      </c>
      <c r="C985" t="s">
        <v>69</v>
      </c>
      <c r="D985" t="s">
        <v>1212</v>
      </c>
      <c r="E985" t="s">
        <v>23</v>
      </c>
      <c r="F985" t="s">
        <v>24</v>
      </c>
      <c r="G985" s="3">
        <v>41504</v>
      </c>
      <c r="H985">
        <v>105558288</v>
      </c>
      <c r="I985" s="3">
        <v>41505</v>
      </c>
      <c r="J985">
        <v>5898</v>
      </c>
      <c r="K985">
        <v>651.21</v>
      </c>
      <c r="L985">
        <v>524.96</v>
      </c>
      <c r="M985">
        <f t="shared" si="135"/>
        <v>3840836.58</v>
      </c>
      <c r="N985">
        <f t="shared" si="136"/>
        <v>3096214.08</v>
      </c>
      <c r="O985">
        <f t="shared" si="137"/>
        <v>744622.5</v>
      </c>
      <c r="P985" s="6">
        <f t="shared" si="138"/>
        <v>0.19386987300563566</v>
      </c>
      <c r="Q985">
        <f t="shared" si="139"/>
        <v>1</v>
      </c>
      <c r="R985">
        <f t="shared" si="140"/>
        <v>2013</v>
      </c>
      <c r="S985" t="str">
        <f t="shared" si="141"/>
        <v>August</v>
      </c>
      <c r="T985">
        <f t="shared" si="142"/>
        <v>8</v>
      </c>
      <c r="U985" t="str">
        <f t="shared" si="143"/>
        <v>High Profit</v>
      </c>
    </row>
    <row r="986" spans="1:21" x14ac:dyDescent="0.35">
      <c r="A986" s="5" t="s">
        <v>37</v>
      </c>
      <c r="B986" s="5" t="s">
        <v>348</v>
      </c>
      <c r="C986" t="s">
        <v>83</v>
      </c>
      <c r="D986" t="s">
        <v>1213</v>
      </c>
      <c r="E986" t="s">
        <v>23</v>
      </c>
      <c r="F986" t="s">
        <v>41</v>
      </c>
      <c r="G986" s="3">
        <v>42004</v>
      </c>
      <c r="H986">
        <v>864981782</v>
      </c>
      <c r="I986" s="3">
        <v>42046</v>
      </c>
      <c r="J986">
        <v>6186</v>
      </c>
      <c r="K986">
        <v>81.73</v>
      </c>
      <c r="L986">
        <v>56.67</v>
      </c>
      <c r="M986">
        <f t="shared" si="135"/>
        <v>505581.78</v>
      </c>
      <c r="N986">
        <f t="shared" si="136"/>
        <v>350560.62</v>
      </c>
      <c r="O986">
        <f t="shared" si="137"/>
        <v>155021.16000000003</v>
      </c>
      <c r="P986" s="6">
        <f t="shared" si="138"/>
        <v>0.30661935641747223</v>
      </c>
      <c r="Q986">
        <f t="shared" si="139"/>
        <v>42</v>
      </c>
      <c r="R986">
        <f t="shared" si="140"/>
        <v>2014</v>
      </c>
      <c r="S986" t="str">
        <f t="shared" si="141"/>
        <v>December</v>
      </c>
      <c r="T986">
        <f t="shared" si="142"/>
        <v>12</v>
      </c>
      <c r="U986" t="str">
        <f t="shared" si="143"/>
        <v>Medium Profit</v>
      </c>
    </row>
    <row r="987" spans="1:21" x14ac:dyDescent="0.35">
      <c r="A987" s="5" t="s">
        <v>37</v>
      </c>
      <c r="B987" s="5" t="s">
        <v>208</v>
      </c>
      <c r="C987" t="s">
        <v>69</v>
      </c>
      <c r="D987" t="s">
        <v>1214</v>
      </c>
      <c r="E987" t="s">
        <v>29</v>
      </c>
      <c r="F987" t="s">
        <v>32</v>
      </c>
      <c r="G987" s="3">
        <v>41309</v>
      </c>
      <c r="H987">
        <v>328856265</v>
      </c>
      <c r="I987" s="3">
        <v>41317</v>
      </c>
      <c r="J987">
        <v>4732</v>
      </c>
      <c r="K987">
        <v>651.21</v>
      </c>
      <c r="L987">
        <v>524.96</v>
      </c>
      <c r="M987">
        <f t="shared" si="135"/>
        <v>3081525.72</v>
      </c>
      <c r="N987">
        <f t="shared" si="136"/>
        <v>2484110.7200000002</v>
      </c>
      <c r="O987">
        <f t="shared" si="137"/>
        <v>597415</v>
      </c>
      <c r="P987" s="6">
        <f t="shared" si="138"/>
        <v>0.19386987300563566</v>
      </c>
      <c r="Q987">
        <f t="shared" si="139"/>
        <v>8</v>
      </c>
      <c r="R987">
        <f t="shared" si="140"/>
        <v>2013</v>
      </c>
      <c r="S987" t="str">
        <f t="shared" si="141"/>
        <v>February</v>
      </c>
      <c r="T987">
        <f t="shared" si="142"/>
        <v>2</v>
      </c>
      <c r="U987" t="str">
        <f t="shared" si="143"/>
        <v>High Profit</v>
      </c>
    </row>
    <row r="988" spans="1:21" x14ac:dyDescent="0.35">
      <c r="A988" s="5" t="s">
        <v>33</v>
      </c>
      <c r="B988" s="5" t="s">
        <v>85</v>
      </c>
      <c r="C988" t="s">
        <v>48</v>
      </c>
      <c r="D988" t="s">
        <v>1215</v>
      </c>
      <c r="E988" t="s">
        <v>23</v>
      </c>
      <c r="F988" t="s">
        <v>41</v>
      </c>
      <c r="G988" s="3">
        <v>42636</v>
      </c>
      <c r="H988">
        <v>308168065</v>
      </c>
      <c r="I988" s="3">
        <v>42661</v>
      </c>
      <c r="J988">
        <v>2633</v>
      </c>
      <c r="K988">
        <v>109.28</v>
      </c>
      <c r="L988">
        <v>35.840000000000003</v>
      </c>
      <c r="M988">
        <f t="shared" si="135"/>
        <v>287734.24</v>
      </c>
      <c r="N988">
        <f t="shared" si="136"/>
        <v>94366.720000000016</v>
      </c>
      <c r="O988">
        <f t="shared" si="137"/>
        <v>193367.51999999996</v>
      </c>
      <c r="P988" s="6">
        <f t="shared" si="138"/>
        <v>0.67203513909224</v>
      </c>
      <c r="Q988">
        <f t="shared" si="139"/>
        <v>25</v>
      </c>
      <c r="R988">
        <f t="shared" si="140"/>
        <v>2016</v>
      </c>
      <c r="S988" t="str">
        <f t="shared" si="141"/>
        <v>September</v>
      </c>
      <c r="T988">
        <f t="shared" si="142"/>
        <v>9</v>
      </c>
      <c r="U988" t="str">
        <f t="shared" si="143"/>
        <v>Medium Profit</v>
      </c>
    </row>
    <row r="989" spans="1:21" x14ac:dyDescent="0.35">
      <c r="A989" s="5" t="s">
        <v>53</v>
      </c>
      <c r="B989" s="5" t="s">
        <v>402</v>
      </c>
      <c r="C989" t="s">
        <v>60</v>
      </c>
      <c r="D989" t="s">
        <v>1216</v>
      </c>
      <c r="E989" t="s">
        <v>23</v>
      </c>
      <c r="F989" t="s">
        <v>66</v>
      </c>
      <c r="G989" s="3">
        <v>42675</v>
      </c>
      <c r="H989">
        <v>884216010</v>
      </c>
      <c r="I989" s="3">
        <v>42676</v>
      </c>
      <c r="J989">
        <v>8021</v>
      </c>
      <c r="K989">
        <v>668.27</v>
      </c>
      <c r="L989">
        <v>502.54</v>
      </c>
      <c r="M989">
        <f t="shared" si="135"/>
        <v>5360193.67</v>
      </c>
      <c r="N989">
        <f t="shared" si="136"/>
        <v>4030873.3400000003</v>
      </c>
      <c r="O989">
        <f t="shared" si="137"/>
        <v>1329320.3299999996</v>
      </c>
      <c r="P989" s="6">
        <f t="shared" si="138"/>
        <v>0.24799856345489091</v>
      </c>
      <c r="Q989">
        <f t="shared" si="139"/>
        <v>1</v>
      </c>
      <c r="R989">
        <f t="shared" si="140"/>
        <v>2016</v>
      </c>
      <c r="S989" t="str">
        <f t="shared" si="141"/>
        <v>November</v>
      </c>
      <c r="T989">
        <f t="shared" si="142"/>
        <v>11</v>
      </c>
      <c r="U989" t="str">
        <f t="shared" si="143"/>
        <v>High Profit</v>
      </c>
    </row>
    <row r="990" spans="1:21" x14ac:dyDescent="0.35">
      <c r="A990" s="5" t="s">
        <v>42</v>
      </c>
      <c r="B990" s="5" t="s">
        <v>586</v>
      </c>
      <c r="C990" t="s">
        <v>58</v>
      </c>
      <c r="D990" t="s">
        <v>1217</v>
      </c>
      <c r="E990" t="s">
        <v>23</v>
      </c>
      <c r="F990" t="s">
        <v>24</v>
      </c>
      <c r="G990" s="3">
        <v>41270</v>
      </c>
      <c r="H990">
        <v>858611428</v>
      </c>
      <c r="I990" s="3">
        <v>41283</v>
      </c>
      <c r="J990">
        <v>1057</v>
      </c>
      <c r="K990">
        <v>152.58000000000001</v>
      </c>
      <c r="L990">
        <v>97.44</v>
      </c>
      <c r="M990">
        <f t="shared" si="135"/>
        <v>161277.06000000003</v>
      </c>
      <c r="N990">
        <f t="shared" si="136"/>
        <v>102994.08</v>
      </c>
      <c r="O990">
        <f t="shared" si="137"/>
        <v>58282.980000000025</v>
      </c>
      <c r="P990" s="6">
        <f t="shared" si="138"/>
        <v>0.36138419189933157</v>
      </c>
      <c r="Q990">
        <f t="shared" si="139"/>
        <v>13</v>
      </c>
      <c r="R990">
        <f t="shared" si="140"/>
        <v>2012</v>
      </c>
      <c r="S990" t="str">
        <f t="shared" si="141"/>
        <v>December</v>
      </c>
      <c r="T990">
        <f t="shared" si="142"/>
        <v>12</v>
      </c>
      <c r="U990" t="str">
        <f t="shared" si="143"/>
        <v>Low Profit</v>
      </c>
    </row>
    <row r="991" spans="1:21" x14ac:dyDescent="0.35">
      <c r="A991" s="5" t="s">
        <v>53</v>
      </c>
      <c r="B991" s="5" t="s">
        <v>54</v>
      </c>
      <c r="C991" t="s">
        <v>35</v>
      </c>
      <c r="D991" t="s">
        <v>1218</v>
      </c>
      <c r="E991" t="s">
        <v>29</v>
      </c>
      <c r="F991" t="s">
        <v>66</v>
      </c>
      <c r="G991" s="3">
        <v>42804</v>
      </c>
      <c r="H991">
        <v>903278148</v>
      </c>
      <c r="I991" s="3">
        <v>42828</v>
      </c>
      <c r="J991">
        <v>8932</v>
      </c>
      <c r="K991">
        <v>205.7</v>
      </c>
      <c r="L991">
        <v>117.11</v>
      </c>
      <c r="M991">
        <f t="shared" si="135"/>
        <v>1837312.4</v>
      </c>
      <c r="N991">
        <f t="shared" si="136"/>
        <v>1046026.52</v>
      </c>
      <c r="O991">
        <f t="shared" si="137"/>
        <v>791285.87999999989</v>
      </c>
      <c r="P991" s="6">
        <f t="shared" si="138"/>
        <v>0.43067574137092851</v>
      </c>
      <c r="Q991">
        <f t="shared" si="139"/>
        <v>24</v>
      </c>
      <c r="R991">
        <f t="shared" si="140"/>
        <v>2017</v>
      </c>
      <c r="S991" t="str">
        <f t="shared" si="141"/>
        <v>March</v>
      </c>
      <c r="T991">
        <f t="shared" si="142"/>
        <v>3</v>
      </c>
      <c r="U991" t="str">
        <f t="shared" si="143"/>
        <v>High Profit</v>
      </c>
    </row>
    <row r="992" spans="1:21" x14ac:dyDescent="0.35">
      <c r="A992" s="5" t="s">
        <v>37</v>
      </c>
      <c r="B992" s="5" t="s">
        <v>161</v>
      </c>
      <c r="C992" t="s">
        <v>72</v>
      </c>
      <c r="D992" t="s">
        <v>1219</v>
      </c>
      <c r="E992" t="s">
        <v>29</v>
      </c>
      <c r="F992" t="s">
        <v>66</v>
      </c>
      <c r="G992" s="3">
        <v>40985</v>
      </c>
      <c r="H992">
        <v>410452497</v>
      </c>
      <c r="I992" s="3">
        <v>40994</v>
      </c>
      <c r="J992">
        <v>870</v>
      </c>
      <c r="K992">
        <v>47.45</v>
      </c>
      <c r="L992">
        <v>31.79</v>
      </c>
      <c r="M992">
        <f t="shared" si="135"/>
        <v>41281.5</v>
      </c>
      <c r="N992">
        <f t="shared" si="136"/>
        <v>27657.3</v>
      </c>
      <c r="O992">
        <f t="shared" si="137"/>
        <v>13624.2</v>
      </c>
      <c r="P992" s="6">
        <f t="shared" si="138"/>
        <v>0.33003161222339306</v>
      </c>
      <c r="Q992">
        <f t="shared" si="139"/>
        <v>9</v>
      </c>
      <c r="R992">
        <f t="shared" si="140"/>
        <v>2012</v>
      </c>
      <c r="S992" t="str">
        <f t="shared" si="141"/>
        <v>March</v>
      </c>
      <c r="T992">
        <f t="shared" si="142"/>
        <v>3</v>
      </c>
      <c r="U992" t="str">
        <f t="shared" si="143"/>
        <v>Low Profit</v>
      </c>
    </row>
    <row r="993" spans="1:21" x14ac:dyDescent="0.35">
      <c r="A993" s="5" t="s">
        <v>37</v>
      </c>
      <c r="B993" s="5" t="s">
        <v>186</v>
      </c>
      <c r="C993" t="s">
        <v>35</v>
      </c>
      <c r="D993" t="s">
        <v>1220</v>
      </c>
      <c r="E993" t="s">
        <v>23</v>
      </c>
      <c r="F993" t="s">
        <v>41</v>
      </c>
      <c r="G993" s="3">
        <v>42355</v>
      </c>
      <c r="H993">
        <v>642683303</v>
      </c>
      <c r="I993" s="3">
        <v>42389</v>
      </c>
      <c r="J993">
        <v>3126</v>
      </c>
      <c r="K993">
        <v>205.7</v>
      </c>
      <c r="L993">
        <v>117.11</v>
      </c>
      <c r="M993">
        <f t="shared" si="135"/>
        <v>643018.19999999995</v>
      </c>
      <c r="N993">
        <f t="shared" si="136"/>
        <v>366085.86</v>
      </c>
      <c r="O993">
        <f t="shared" si="137"/>
        <v>276932.33999999997</v>
      </c>
      <c r="P993" s="6">
        <f t="shared" si="138"/>
        <v>0.43067574137092851</v>
      </c>
      <c r="Q993">
        <f t="shared" si="139"/>
        <v>34</v>
      </c>
      <c r="R993">
        <f t="shared" si="140"/>
        <v>2015</v>
      </c>
      <c r="S993" t="str">
        <f t="shared" si="141"/>
        <v>December</v>
      </c>
      <c r="T993">
        <f t="shared" si="142"/>
        <v>12</v>
      </c>
      <c r="U993" t="str">
        <f t="shared" si="143"/>
        <v>Medium Profit</v>
      </c>
    </row>
    <row r="994" spans="1:21" x14ac:dyDescent="0.35">
      <c r="A994" s="5" t="s">
        <v>42</v>
      </c>
      <c r="B994" s="5" t="s">
        <v>400</v>
      </c>
      <c r="C994" t="s">
        <v>72</v>
      </c>
      <c r="D994" t="s">
        <v>1221</v>
      </c>
      <c r="E994" t="s">
        <v>23</v>
      </c>
      <c r="F994" t="s">
        <v>66</v>
      </c>
      <c r="G994" s="3">
        <v>42784</v>
      </c>
      <c r="H994">
        <v>682831895</v>
      </c>
      <c r="I994" s="3">
        <v>42810</v>
      </c>
      <c r="J994">
        <v>3987</v>
      </c>
      <c r="K994">
        <v>47.45</v>
      </c>
      <c r="L994">
        <v>31.79</v>
      </c>
      <c r="M994">
        <f t="shared" si="135"/>
        <v>189183.15000000002</v>
      </c>
      <c r="N994">
        <f t="shared" si="136"/>
        <v>126746.73</v>
      </c>
      <c r="O994">
        <f t="shared" si="137"/>
        <v>62436.420000000027</v>
      </c>
      <c r="P994" s="6">
        <f t="shared" si="138"/>
        <v>0.33003161222339317</v>
      </c>
      <c r="Q994">
        <f t="shared" si="139"/>
        <v>26</v>
      </c>
      <c r="R994">
        <f t="shared" si="140"/>
        <v>2017</v>
      </c>
      <c r="S994" t="str">
        <f t="shared" si="141"/>
        <v>February</v>
      </c>
      <c r="T994">
        <f t="shared" si="142"/>
        <v>2</v>
      </c>
      <c r="U994" t="str">
        <f t="shared" si="143"/>
        <v>Low Profit</v>
      </c>
    </row>
    <row r="995" spans="1:21" x14ac:dyDescent="0.35">
      <c r="A995" s="5" t="s">
        <v>53</v>
      </c>
      <c r="B995" s="5" t="s">
        <v>524</v>
      </c>
      <c r="C995" t="s">
        <v>30</v>
      </c>
      <c r="D995" t="s">
        <v>1222</v>
      </c>
      <c r="E995" t="s">
        <v>29</v>
      </c>
      <c r="F995" t="s">
        <v>66</v>
      </c>
      <c r="G995" s="3">
        <v>42679</v>
      </c>
      <c r="H995">
        <v>584072101</v>
      </c>
      <c r="I995" s="3">
        <v>42679</v>
      </c>
      <c r="J995">
        <v>8769</v>
      </c>
      <c r="K995">
        <v>255.28</v>
      </c>
      <c r="L995">
        <v>159.41999999999999</v>
      </c>
      <c r="M995">
        <f t="shared" si="135"/>
        <v>2238550.3199999998</v>
      </c>
      <c r="N995">
        <f t="shared" si="136"/>
        <v>1397953.98</v>
      </c>
      <c r="O995">
        <f t="shared" si="137"/>
        <v>840596.33999999985</v>
      </c>
      <c r="P995" s="6">
        <f t="shared" si="138"/>
        <v>0.37550924475086178</v>
      </c>
      <c r="Q995">
        <f t="shared" si="139"/>
        <v>0</v>
      </c>
      <c r="R995">
        <f t="shared" si="140"/>
        <v>2016</v>
      </c>
      <c r="S995" t="str">
        <f t="shared" si="141"/>
        <v>November</v>
      </c>
      <c r="T995">
        <f t="shared" si="142"/>
        <v>11</v>
      </c>
      <c r="U995" t="str">
        <f t="shared" si="143"/>
        <v>High Profit</v>
      </c>
    </row>
    <row r="996" spans="1:21" x14ac:dyDescent="0.35">
      <c r="A996" s="5" t="s">
        <v>33</v>
      </c>
      <c r="B996" s="5" t="s">
        <v>147</v>
      </c>
      <c r="C996" t="s">
        <v>92</v>
      </c>
      <c r="D996" t="s">
        <v>1223</v>
      </c>
      <c r="E996" t="s">
        <v>23</v>
      </c>
      <c r="F996" t="s">
        <v>32</v>
      </c>
      <c r="G996" s="3">
        <v>42834</v>
      </c>
      <c r="H996">
        <v>919890248</v>
      </c>
      <c r="I996" s="3">
        <v>42873</v>
      </c>
      <c r="J996">
        <v>4821</v>
      </c>
      <c r="K996">
        <v>421.89</v>
      </c>
      <c r="L996">
        <v>364.69</v>
      </c>
      <c r="M996">
        <f t="shared" si="135"/>
        <v>2033931.69</v>
      </c>
      <c r="N996">
        <f t="shared" si="136"/>
        <v>1758170.49</v>
      </c>
      <c r="O996">
        <f t="shared" si="137"/>
        <v>275761.19999999995</v>
      </c>
      <c r="P996" s="6">
        <f t="shared" si="138"/>
        <v>0.13558036455000116</v>
      </c>
      <c r="Q996">
        <f t="shared" si="139"/>
        <v>39</v>
      </c>
      <c r="R996">
        <f t="shared" si="140"/>
        <v>2017</v>
      </c>
      <c r="S996" t="str">
        <f t="shared" si="141"/>
        <v>April</v>
      </c>
      <c r="T996">
        <f t="shared" si="142"/>
        <v>4</v>
      </c>
      <c r="U996" t="str">
        <f t="shared" si="143"/>
        <v>Medium Profit</v>
      </c>
    </row>
    <row r="997" spans="1:21" x14ac:dyDescent="0.35">
      <c r="A997" s="5" t="s">
        <v>19</v>
      </c>
      <c r="B997" s="5" t="s">
        <v>700</v>
      </c>
      <c r="C997" t="s">
        <v>58</v>
      </c>
      <c r="D997" t="s">
        <v>1224</v>
      </c>
      <c r="E997" t="s">
        <v>23</v>
      </c>
      <c r="F997" t="s">
        <v>32</v>
      </c>
      <c r="G997" s="3">
        <v>40286</v>
      </c>
      <c r="H997">
        <v>534085166</v>
      </c>
      <c r="I997" s="3">
        <v>40293</v>
      </c>
      <c r="J997">
        <v>6524</v>
      </c>
      <c r="K997">
        <v>152.58000000000001</v>
      </c>
      <c r="L997">
        <v>97.44</v>
      </c>
      <c r="M997">
        <f t="shared" si="135"/>
        <v>995431.92</v>
      </c>
      <c r="N997">
        <f t="shared" si="136"/>
        <v>635698.55999999994</v>
      </c>
      <c r="O997">
        <f t="shared" si="137"/>
        <v>359733.3600000001</v>
      </c>
      <c r="P997" s="6">
        <f t="shared" si="138"/>
        <v>0.36138419189933157</v>
      </c>
      <c r="Q997">
        <f t="shared" si="139"/>
        <v>7</v>
      </c>
      <c r="R997">
        <f t="shared" si="140"/>
        <v>2010</v>
      </c>
      <c r="S997" t="str">
        <f t="shared" si="141"/>
        <v>April</v>
      </c>
      <c r="T997">
        <f t="shared" si="142"/>
        <v>4</v>
      </c>
      <c r="U997" t="str">
        <f t="shared" si="143"/>
        <v>Medium Profit</v>
      </c>
    </row>
    <row r="998" spans="1:21" x14ac:dyDescent="0.35">
      <c r="A998" s="5" t="s">
        <v>42</v>
      </c>
      <c r="B998" s="5" t="s">
        <v>324</v>
      </c>
      <c r="C998" t="s">
        <v>30</v>
      </c>
      <c r="D998" t="s">
        <v>1225</v>
      </c>
      <c r="E998" t="s">
        <v>23</v>
      </c>
      <c r="F998" t="s">
        <v>41</v>
      </c>
      <c r="G998" s="3">
        <v>40756</v>
      </c>
      <c r="H998">
        <v>590768182</v>
      </c>
      <c r="I998" s="3">
        <v>40793</v>
      </c>
      <c r="J998">
        <v>288</v>
      </c>
      <c r="K998">
        <v>255.28</v>
      </c>
      <c r="L998">
        <v>159.41999999999999</v>
      </c>
      <c r="M998">
        <f t="shared" si="135"/>
        <v>73520.639999999999</v>
      </c>
      <c r="N998">
        <f t="shared" si="136"/>
        <v>45912.959999999999</v>
      </c>
      <c r="O998">
        <f t="shared" si="137"/>
        <v>27607.68</v>
      </c>
      <c r="P998" s="6">
        <f t="shared" si="138"/>
        <v>0.37550924475086178</v>
      </c>
      <c r="Q998">
        <f t="shared" si="139"/>
        <v>37</v>
      </c>
      <c r="R998">
        <f t="shared" si="140"/>
        <v>2011</v>
      </c>
      <c r="S998" t="str">
        <f t="shared" si="141"/>
        <v>August</v>
      </c>
      <c r="T998">
        <f t="shared" si="142"/>
        <v>8</v>
      </c>
      <c r="U998" t="str">
        <f t="shared" si="143"/>
        <v>Low Profit</v>
      </c>
    </row>
    <row r="999" spans="1:21" x14ac:dyDescent="0.35">
      <c r="A999" s="5" t="s">
        <v>19</v>
      </c>
      <c r="B999" s="5" t="s">
        <v>229</v>
      </c>
      <c r="C999" t="s">
        <v>27</v>
      </c>
      <c r="D999" t="s">
        <v>1226</v>
      </c>
      <c r="E999" t="s">
        <v>29</v>
      </c>
      <c r="F999" t="s">
        <v>32</v>
      </c>
      <c r="G999" s="3">
        <v>40675</v>
      </c>
      <c r="H999">
        <v>524363124</v>
      </c>
      <c r="I999" s="3">
        <v>40722</v>
      </c>
      <c r="J999">
        <v>9556</v>
      </c>
      <c r="K999">
        <v>154.06</v>
      </c>
      <c r="L999">
        <v>90.93</v>
      </c>
      <c r="M999">
        <f t="shared" si="135"/>
        <v>1472197.36</v>
      </c>
      <c r="N999">
        <f t="shared" si="136"/>
        <v>868927.08000000007</v>
      </c>
      <c r="O999">
        <f t="shared" si="137"/>
        <v>603270.28</v>
      </c>
      <c r="P999" s="6">
        <f t="shared" si="138"/>
        <v>0.40977541217707386</v>
      </c>
      <c r="Q999">
        <f t="shared" si="139"/>
        <v>47</v>
      </c>
      <c r="R999">
        <f t="shared" si="140"/>
        <v>2011</v>
      </c>
      <c r="S999" t="str">
        <f t="shared" si="141"/>
        <v>May</v>
      </c>
      <c r="T999">
        <f t="shared" si="142"/>
        <v>5</v>
      </c>
      <c r="U999" t="str">
        <f t="shared" si="143"/>
        <v>High Profit</v>
      </c>
    </row>
    <row r="1000" spans="1:21" x14ac:dyDescent="0.35">
      <c r="A1000" s="5" t="s">
        <v>42</v>
      </c>
      <c r="B1000" s="5" t="s">
        <v>379</v>
      </c>
      <c r="C1000" t="s">
        <v>60</v>
      </c>
      <c r="D1000" t="s">
        <v>1227</v>
      </c>
      <c r="E1000" t="s">
        <v>23</v>
      </c>
      <c r="F1000" t="s">
        <v>66</v>
      </c>
      <c r="G1000" s="3">
        <v>42394</v>
      </c>
      <c r="H1000">
        <v>289606320</v>
      </c>
      <c r="I1000" s="3">
        <v>42414</v>
      </c>
      <c r="J1000">
        <v>9801</v>
      </c>
      <c r="K1000">
        <v>668.27</v>
      </c>
      <c r="L1000">
        <v>502.54</v>
      </c>
      <c r="M1000">
        <f t="shared" si="135"/>
        <v>6549714.2699999996</v>
      </c>
      <c r="N1000">
        <f t="shared" si="136"/>
        <v>4925394.54</v>
      </c>
      <c r="O1000">
        <f t="shared" si="137"/>
        <v>1624319.7299999995</v>
      </c>
      <c r="P1000" s="6">
        <f t="shared" si="138"/>
        <v>0.24799856345489094</v>
      </c>
      <c r="Q1000">
        <f t="shared" si="139"/>
        <v>20</v>
      </c>
      <c r="R1000">
        <f t="shared" si="140"/>
        <v>2016</v>
      </c>
      <c r="S1000" t="str">
        <f t="shared" si="141"/>
        <v>January</v>
      </c>
      <c r="T1000">
        <f t="shared" si="142"/>
        <v>1</v>
      </c>
      <c r="U1000" t="str">
        <f t="shared" si="143"/>
        <v>High Profit</v>
      </c>
    </row>
    <row r="1001" spans="1:21" x14ac:dyDescent="0.35">
      <c r="A1001" s="5" t="s">
        <v>42</v>
      </c>
      <c r="B1001" s="5" t="s">
        <v>150</v>
      </c>
      <c r="C1001" t="s">
        <v>35</v>
      </c>
      <c r="D1001" t="s">
        <v>1228</v>
      </c>
      <c r="E1001" t="s">
        <v>23</v>
      </c>
      <c r="F1001" t="s">
        <v>32</v>
      </c>
      <c r="G1001" s="3">
        <v>41739</v>
      </c>
      <c r="H1001">
        <v>811546599</v>
      </c>
      <c r="I1001" s="3">
        <v>41767</v>
      </c>
      <c r="J1001">
        <v>3528</v>
      </c>
      <c r="K1001">
        <v>205.7</v>
      </c>
      <c r="L1001">
        <v>117.11</v>
      </c>
      <c r="M1001">
        <f t="shared" si="135"/>
        <v>725709.6</v>
      </c>
      <c r="N1001">
        <f t="shared" si="136"/>
        <v>413164.08</v>
      </c>
      <c r="O1001">
        <f t="shared" si="137"/>
        <v>312545.51999999996</v>
      </c>
      <c r="P1001" s="6">
        <f t="shared" si="138"/>
        <v>0.43067574137092851</v>
      </c>
      <c r="Q1001">
        <f t="shared" si="139"/>
        <v>28</v>
      </c>
      <c r="R1001">
        <f t="shared" si="140"/>
        <v>2014</v>
      </c>
      <c r="S1001" t="str">
        <f t="shared" si="141"/>
        <v>April</v>
      </c>
      <c r="T1001">
        <f t="shared" si="142"/>
        <v>4</v>
      </c>
      <c r="U1001" t="str">
        <f t="shared" si="143"/>
        <v>Medium Profit</v>
      </c>
    </row>
  </sheetData>
  <autoFilter ref="A1:S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2026-08-20T08:58:48Z</dcterms:created>
  <dcterms:modified xsi:type="dcterms:W3CDTF">2026-08-21T09:35:00Z</dcterms:modified>
</cp:coreProperties>
</file>